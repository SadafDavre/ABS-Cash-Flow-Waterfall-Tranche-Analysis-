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rSad.BRINKSGBL\Downloads\"/>
    </mc:Choice>
  </mc:AlternateContent>
  <xr:revisionPtr revIDLastSave="0" documentId="8_{E0862790-344D-4EC4-ADC3-5F56CF1DF4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DME" sheetId="1" r:id="rId1"/>
    <sheet name="Assumptions" sheetId="2" r:id="rId2"/>
    <sheet name="Loans" sheetId="3" r:id="rId3"/>
    <sheet name="Portfolio_CF" sheetId="4" r:id="rId4"/>
    <sheet name="Waterfall" sheetId="5" r:id="rId5"/>
    <sheet name="Tranche_Summary" sheetId="6" r:id="rId6"/>
    <sheet name="DASHBOARD" sheetId="7" r:id="rId7"/>
  </sheets>
  <definedNames>
    <definedName name="ADR_Base">Assumptions!$B$3</definedName>
    <definedName name="CPR">Assumptions!$B$6</definedName>
    <definedName name="FeePct">Assumptions!$B$7</definedName>
    <definedName name="InitPool">Assumptions!$B$2</definedName>
    <definedName name="MezzPct">Assumptions!$B$9</definedName>
    <definedName name="MezzRate">Assumptions!$B$13</definedName>
    <definedName name="Mz_Notes">TotalNotes*MezzPct</definedName>
    <definedName name="OCpct">Assumptions!$B$11</definedName>
    <definedName name="Port_Defaults">Portfolio_CF!$E$2:$E$37</definedName>
    <definedName name="ProjMonths">Assumptions!$B$15</definedName>
    <definedName name="RecLag">Assumptions!$B$16</definedName>
    <definedName name="RecoveryRate">Assumptions!$B$5</definedName>
    <definedName name="SeniorPct">Assumptions!$B$8</definedName>
    <definedName name="SeniorRate">Assumptions!$B$12</definedName>
    <definedName name="Sr_Notes">TotalNotes*SeniorPct</definedName>
    <definedName name="TotalNotes">InitPool*(1-OCpct)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7" l="1"/>
  <c r="B5" i="7"/>
  <c r="B4" i="7"/>
  <c r="B3" i="7"/>
  <c r="C12" i="6"/>
  <c r="B12" i="6"/>
  <c r="C3" i="6"/>
  <c r="B3" i="6"/>
  <c r="D2" i="5"/>
  <c r="C2" i="5"/>
  <c r="F5" i="4"/>
  <c r="F4" i="4"/>
  <c r="F3" i="4"/>
  <c r="F2" i="4"/>
  <c r="E2" i="4"/>
  <c r="B2" i="4"/>
  <c r="G2" i="4" l="1"/>
  <c r="D2" i="4"/>
  <c r="J2" i="4" s="1"/>
  <c r="B3" i="4" s="1"/>
  <c r="C2" i="4"/>
  <c r="G2" i="5"/>
  <c r="F2" i="5"/>
  <c r="E3" i="4" l="1"/>
  <c r="F6" i="4" s="1"/>
  <c r="D3" i="4"/>
  <c r="J3" i="4" s="1"/>
  <c r="B4" i="4" s="1"/>
  <c r="C3" i="4"/>
  <c r="G3" i="4"/>
  <c r="H2" i="4"/>
  <c r="I2" i="4"/>
  <c r="B2" i="5" s="1"/>
  <c r="D4" i="4" l="1"/>
  <c r="E4" i="4"/>
  <c r="F7" i="4" s="1"/>
  <c r="G4" i="4"/>
  <c r="J4" i="4" s="1"/>
  <c r="B5" i="4" s="1"/>
  <c r="C4" i="4"/>
  <c r="H2" i="5"/>
  <c r="I3" i="4"/>
  <c r="B3" i="5" s="1"/>
  <c r="H3" i="4"/>
  <c r="E5" i="4" l="1"/>
  <c r="F8" i="4" s="1"/>
  <c r="D5" i="4"/>
  <c r="J5" i="4" s="1"/>
  <c r="B6" i="4" s="1"/>
  <c r="G5" i="4"/>
  <c r="C5" i="4"/>
  <c r="H4" i="4"/>
  <c r="I4" i="4" s="1"/>
  <c r="B4" i="5" s="1"/>
  <c r="L2" i="5"/>
  <c r="C3" i="5" s="1"/>
  <c r="B13" i="6"/>
  <c r="I2" i="5"/>
  <c r="G6" i="4" l="1"/>
  <c r="E6" i="4"/>
  <c r="F9" i="4" s="1"/>
  <c r="D6" i="4"/>
  <c r="C6" i="4"/>
  <c r="J6" i="4"/>
  <c r="B7" i="4" s="1"/>
  <c r="F3" i="5"/>
  <c r="M2" i="5"/>
  <c r="D3" i="5" s="1"/>
  <c r="C13" i="6"/>
  <c r="I5" i="4"/>
  <c r="B5" i="5" s="1"/>
  <c r="H5" i="4"/>
  <c r="K2" i="5"/>
  <c r="N2" i="5" s="1"/>
  <c r="E7" i="4" l="1"/>
  <c r="F10" i="4" s="1"/>
  <c r="G7" i="4"/>
  <c r="D7" i="4"/>
  <c r="J7" i="4" s="1"/>
  <c r="B8" i="4" s="1"/>
  <c r="C7" i="4"/>
  <c r="D13" i="6"/>
  <c r="I6" i="4"/>
  <c r="B6" i="5" s="1"/>
  <c r="H6" i="4"/>
  <c r="G3" i="5"/>
  <c r="C8" i="4" l="1"/>
  <c r="E8" i="4"/>
  <c r="F11" i="4" s="1"/>
  <c r="G8" i="4"/>
  <c r="D8" i="4"/>
  <c r="J8" i="4" s="1"/>
  <c r="B9" i="4" s="1"/>
  <c r="I7" i="4"/>
  <c r="B7" i="5" s="1"/>
  <c r="H7" i="4"/>
  <c r="H3" i="5"/>
  <c r="I3" i="5"/>
  <c r="G9" i="4" l="1"/>
  <c r="E9" i="4"/>
  <c r="F12" i="4" s="1"/>
  <c r="D9" i="4"/>
  <c r="J9" i="4" s="1"/>
  <c r="B10" i="4" s="1"/>
  <c r="C9" i="4"/>
  <c r="M3" i="5"/>
  <c r="D4" i="5" s="1"/>
  <c r="L3" i="5"/>
  <c r="C4" i="5" s="1"/>
  <c r="B14" i="6"/>
  <c r="K3" i="5"/>
  <c r="N3" i="5" s="1"/>
  <c r="C14" i="6"/>
  <c r="H8" i="4"/>
  <c r="I8" i="4" s="1"/>
  <c r="B8" i="5" s="1"/>
  <c r="G10" i="4" l="1"/>
  <c r="E10" i="4"/>
  <c r="F13" i="4" s="1"/>
  <c r="C10" i="4"/>
  <c r="D10" i="4"/>
  <c r="J10" i="4" s="1"/>
  <c r="B11" i="4" s="1"/>
  <c r="G4" i="5"/>
  <c r="D14" i="6"/>
  <c r="H9" i="4"/>
  <c r="I9" i="4" s="1"/>
  <c r="B9" i="5" s="1"/>
  <c r="F4" i="5"/>
  <c r="D11" i="4" l="1"/>
  <c r="C11" i="4"/>
  <c r="G11" i="4"/>
  <c r="E11" i="4"/>
  <c r="F14" i="4" s="1"/>
  <c r="I10" i="4"/>
  <c r="B10" i="5" s="1"/>
  <c r="H10" i="4"/>
  <c r="B15" i="6"/>
  <c r="H4" i="5"/>
  <c r="J11" i="4" l="1"/>
  <c r="B12" i="4" s="1"/>
  <c r="L4" i="5"/>
  <c r="C5" i="5" s="1"/>
  <c r="I4" i="5"/>
  <c r="H11" i="4"/>
  <c r="I11" i="4" s="1"/>
  <c r="B11" i="5" s="1"/>
  <c r="C12" i="4" l="1"/>
  <c r="G12" i="4"/>
  <c r="E12" i="4"/>
  <c r="F15" i="4" s="1"/>
  <c r="D12" i="4"/>
  <c r="J12" i="4" s="1"/>
  <c r="B13" i="4" s="1"/>
  <c r="M4" i="5"/>
  <c r="D5" i="5" s="1"/>
  <c r="C15" i="6"/>
  <c r="K4" i="5"/>
  <c r="N4" i="5" s="1"/>
  <c r="F5" i="5"/>
  <c r="G13" i="4" l="1"/>
  <c r="C13" i="4"/>
  <c r="D13" i="4"/>
  <c r="J13" i="4" s="1"/>
  <c r="B14" i="4" s="1"/>
  <c r="E13" i="4"/>
  <c r="F16" i="4" s="1"/>
  <c r="G5" i="5"/>
  <c r="H12" i="4"/>
  <c r="I12" i="4" s="1"/>
  <c r="B12" i="5" s="1"/>
  <c r="D15" i="6"/>
  <c r="E14" i="4" l="1"/>
  <c r="F17" i="4" s="1"/>
  <c r="D14" i="4"/>
  <c r="C14" i="4"/>
  <c r="G14" i="4"/>
  <c r="H13" i="4"/>
  <c r="I13" i="4" s="1"/>
  <c r="B13" i="5" s="1"/>
  <c r="H5" i="5"/>
  <c r="L5" i="5" l="1"/>
  <c r="C6" i="5" s="1"/>
  <c r="B16" i="6"/>
  <c r="J14" i="4"/>
  <c r="B15" i="4" s="1"/>
  <c r="H14" i="4"/>
  <c r="I14" i="4" s="1"/>
  <c r="B14" i="5" s="1"/>
  <c r="I5" i="5"/>
  <c r="M5" i="5" l="1"/>
  <c r="D6" i="5" s="1"/>
  <c r="C16" i="6"/>
  <c r="F6" i="5"/>
  <c r="K5" i="5"/>
  <c r="N5" i="5" s="1"/>
  <c r="G15" i="4"/>
  <c r="E15" i="4"/>
  <c r="F18" i="4" s="1"/>
  <c r="D15" i="4"/>
  <c r="J15" i="4" s="1"/>
  <c r="B16" i="4" s="1"/>
  <c r="C15" i="4"/>
  <c r="G16" i="4" l="1"/>
  <c r="D16" i="4"/>
  <c r="J16" i="4" s="1"/>
  <c r="B17" i="4" s="1"/>
  <c r="C16" i="4"/>
  <c r="E16" i="4"/>
  <c r="F19" i="4" s="1"/>
  <c r="H15" i="4"/>
  <c r="I15" i="4" s="1"/>
  <c r="B15" i="5" s="1"/>
  <c r="D16" i="6"/>
  <c r="H6" i="5"/>
  <c r="I6" i="5" s="1"/>
  <c r="G6" i="5"/>
  <c r="M6" i="5" l="1"/>
  <c r="D7" i="5" s="1"/>
  <c r="E17" i="4"/>
  <c r="F20" i="4" s="1"/>
  <c r="D17" i="4"/>
  <c r="C17" i="4"/>
  <c r="G17" i="4"/>
  <c r="J17" i="4"/>
  <c r="B18" i="4" s="1"/>
  <c r="K6" i="5"/>
  <c r="N6" i="5" s="1"/>
  <c r="H16" i="4"/>
  <c r="I16" i="4" s="1"/>
  <c r="B16" i="5" s="1"/>
  <c r="C17" i="6"/>
  <c r="L6" i="5"/>
  <c r="C7" i="5" s="1"/>
  <c r="B17" i="6"/>
  <c r="G18" i="4" l="1"/>
  <c r="E18" i="4"/>
  <c r="F21" i="4" s="1"/>
  <c r="C18" i="4"/>
  <c r="D18" i="4"/>
  <c r="J18" i="4" s="1"/>
  <c r="B19" i="4" s="1"/>
  <c r="I17" i="4"/>
  <c r="B17" i="5" s="1"/>
  <c r="H17" i="4"/>
  <c r="D17" i="6"/>
  <c r="G7" i="5"/>
  <c r="F7" i="5"/>
  <c r="E19" i="4" l="1"/>
  <c r="F22" i="4" s="1"/>
  <c r="D19" i="4"/>
  <c r="J19" i="4" s="1"/>
  <c r="B20" i="4" s="1"/>
  <c r="C19" i="4"/>
  <c r="G19" i="4"/>
  <c r="H18" i="4"/>
  <c r="I18" i="4" s="1"/>
  <c r="B18" i="5" s="1"/>
  <c r="I7" i="5"/>
  <c r="M7" i="5" s="1"/>
  <c r="D8" i="5" s="1"/>
  <c r="H7" i="5"/>
  <c r="L7" i="5" s="1"/>
  <c r="C8" i="5" s="1"/>
  <c r="G20" i="4" l="1"/>
  <c r="E20" i="4"/>
  <c r="F23" i="4" s="1"/>
  <c r="D20" i="4"/>
  <c r="C20" i="4"/>
  <c r="J20" i="4"/>
  <c r="B21" i="4" s="1"/>
  <c r="H19" i="4"/>
  <c r="I19" i="4" s="1"/>
  <c r="B19" i="5" s="1"/>
  <c r="G8" i="5"/>
  <c r="F8" i="5"/>
  <c r="K7" i="5"/>
  <c r="N7" i="5" s="1"/>
  <c r="D18" i="6" s="1"/>
  <c r="B18" i="6"/>
  <c r="C18" i="6"/>
  <c r="H8" i="5" l="1"/>
  <c r="L8" i="5" s="1"/>
  <c r="C9" i="5" s="1"/>
  <c r="G21" i="4"/>
  <c r="D21" i="4"/>
  <c r="J21" i="4" s="1"/>
  <c r="B22" i="4" s="1"/>
  <c r="E21" i="4"/>
  <c r="F24" i="4" s="1"/>
  <c r="C21" i="4"/>
  <c r="I20" i="4"/>
  <c r="B20" i="5" s="1"/>
  <c r="H20" i="4"/>
  <c r="C22" i="4" l="1"/>
  <c r="E22" i="4"/>
  <c r="F25" i="4" s="1"/>
  <c r="G22" i="4"/>
  <c r="D22" i="4"/>
  <c r="J22" i="4" s="1"/>
  <c r="B23" i="4" s="1"/>
  <c r="K8" i="5"/>
  <c r="N8" i="5" s="1"/>
  <c r="D19" i="6" s="1"/>
  <c r="F9" i="5"/>
  <c r="H21" i="4"/>
  <c r="I21" i="4" s="1"/>
  <c r="B21" i="5" s="1"/>
  <c r="B19" i="6"/>
  <c r="I8" i="5"/>
  <c r="G23" i="4" l="1"/>
  <c r="E23" i="4"/>
  <c r="F26" i="4" s="1"/>
  <c r="D23" i="4"/>
  <c r="C23" i="4"/>
  <c r="M8" i="5"/>
  <c r="D9" i="5" s="1"/>
  <c r="C19" i="6"/>
  <c r="H22" i="4"/>
  <c r="I22" i="4" s="1"/>
  <c r="B22" i="5" s="1"/>
  <c r="G9" i="5" l="1"/>
  <c r="H23" i="4"/>
  <c r="I23" i="4" s="1"/>
  <c r="B23" i="5" s="1"/>
  <c r="J23" i="4"/>
  <c r="B24" i="4" s="1"/>
  <c r="H9" i="5" l="1"/>
  <c r="G24" i="4"/>
  <c r="E24" i="4"/>
  <c r="F27" i="4" s="1"/>
  <c r="C24" i="4"/>
  <c r="D24" i="4"/>
  <c r="J24" i="4" s="1"/>
  <c r="B25" i="4" s="1"/>
  <c r="D25" i="4" l="1"/>
  <c r="J25" i="4" s="1"/>
  <c r="B26" i="4" s="1"/>
  <c r="C25" i="4"/>
  <c r="G25" i="4"/>
  <c r="E25" i="4"/>
  <c r="F28" i="4" s="1"/>
  <c r="H24" i="4"/>
  <c r="I24" i="4" s="1"/>
  <c r="B24" i="5" s="1"/>
  <c r="L9" i="5"/>
  <c r="C10" i="5" s="1"/>
  <c r="B20" i="6"/>
  <c r="I9" i="5"/>
  <c r="G26" i="4" l="1"/>
  <c r="E26" i="4"/>
  <c r="F29" i="4" s="1"/>
  <c r="D26" i="4"/>
  <c r="J26" i="4" s="1"/>
  <c r="B27" i="4" s="1"/>
  <c r="C26" i="4"/>
  <c r="M9" i="5"/>
  <c r="D10" i="5" s="1"/>
  <c r="C20" i="6"/>
  <c r="K9" i="5"/>
  <c r="N9" i="5" s="1"/>
  <c r="D20" i="6" s="1"/>
  <c r="H25" i="4"/>
  <c r="I25" i="4" s="1"/>
  <c r="B25" i="5" s="1"/>
  <c r="F10" i="5"/>
  <c r="G27" i="4" l="1"/>
  <c r="C27" i="4"/>
  <c r="E27" i="4"/>
  <c r="F30" i="4" s="1"/>
  <c r="D27" i="4"/>
  <c r="J27" i="4" s="1"/>
  <c r="B28" i="4" s="1"/>
  <c r="G10" i="5"/>
  <c r="H10" i="5"/>
  <c r="L10" i="5" s="1"/>
  <c r="C11" i="5" s="1"/>
  <c r="H26" i="4"/>
  <c r="I26" i="4" s="1"/>
  <c r="B26" i="5" s="1"/>
  <c r="E28" i="4" l="1"/>
  <c r="F31" i="4" s="1"/>
  <c r="D28" i="4"/>
  <c r="C28" i="4"/>
  <c r="G28" i="4"/>
  <c r="J28" i="4"/>
  <c r="B29" i="4" s="1"/>
  <c r="B21" i="6"/>
  <c r="F11" i="5"/>
  <c r="C21" i="6"/>
  <c r="H27" i="4"/>
  <c r="I27" i="4"/>
  <c r="B27" i="5" s="1"/>
  <c r="I10" i="5"/>
  <c r="M10" i="5" s="1"/>
  <c r="D11" i="5" s="1"/>
  <c r="D29" i="4" l="1"/>
  <c r="G29" i="4"/>
  <c r="E29" i="4"/>
  <c r="F32" i="4" s="1"/>
  <c r="C29" i="4"/>
  <c r="H28" i="4"/>
  <c r="I28" i="4" s="1"/>
  <c r="B28" i="5" s="1"/>
  <c r="K10" i="5"/>
  <c r="N10" i="5" s="1"/>
  <c r="D21" i="6" s="1"/>
  <c r="G11" i="5"/>
  <c r="H11" i="5" s="1"/>
  <c r="L11" i="5" l="1"/>
  <c r="C12" i="5" s="1"/>
  <c r="B22" i="6"/>
  <c r="J29" i="4"/>
  <c r="B30" i="4" s="1"/>
  <c r="H29" i="4"/>
  <c r="I29" i="4" s="1"/>
  <c r="B29" i="5" s="1"/>
  <c r="I11" i="5"/>
  <c r="M11" i="5" s="1"/>
  <c r="D12" i="5" s="1"/>
  <c r="K11" i="5" l="1"/>
  <c r="N11" i="5" s="1"/>
  <c r="D22" i="6" s="1"/>
  <c r="G30" i="4"/>
  <c r="D30" i="4"/>
  <c r="J30" i="4" s="1"/>
  <c r="B31" i="4" s="1"/>
  <c r="C30" i="4"/>
  <c r="E30" i="4"/>
  <c r="F33" i="4" s="1"/>
  <c r="G12" i="5"/>
  <c r="C22" i="6"/>
  <c r="F12" i="5"/>
  <c r="E31" i="4" l="1"/>
  <c r="F34" i="4" s="1"/>
  <c r="D31" i="4"/>
  <c r="J31" i="4" s="1"/>
  <c r="B32" i="4" s="1"/>
  <c r="C31" i="4"/>
  <c r="G31" i="4"/>
  <c r="I30" i="4"/>
  <c r="B30" i="5" s="1"/>
  <c r="H30" i="4"/>
  <c r="H12" i="5"/>
  <c r="L12" i="5" s="1"/>
  <c r="C13" i="5" s="1"/>
  <c r="E32" i="4" l="1"/>
  <c r="F35" i="4" s="1"/>
  <c r="G32" i="4"/>
  <c r="D32" i="4"/>
  <c r="J32" i="4" s="1"/>
  <c r="B33" i="4" s="1"/>
  <c r="C32" i="4"/>
  <c r="B23" i="6"/>
  <c r="I12" i="5"/>
  <c r="H31" i="4"/>
  <c r="I31" i="4" s="1"/>
  <c r="B31" i="5" s="1"/>
  <c r="F13" i="5"/>
  <c r="E33" i="4" l="1"/>
  <c r="F36" i="4" s="1"/>
  <c r="D33" i="4"/>
  <c r="J33" i="4" s="1"/>
  <c r="B34" i="4" s="1"/>
  <c r="C33" i="4"/>
  <c r="G33" i="4"/>
  <c r="H32" i="4"/>
  <c r="I32" i="4" s="1"/>
  <c r="B32" i="5" s="1"/>
  <c r="M12" i="5"/>
  <c r="D13" i="5" s="1"/>
  <c r="C23" i="6"/>
  <c r="K12" i="5"/>
  <c r="N12" i="5" s="1"/>
  <c r="D23" i="6" s="1"/>
  <c r="G34" i="4" l="1"/>
  <c r="E34" i="4"/>
  <c r="F37" i="4" s="1"/>
  <c r="D34" i="4"/>
  <c r="J34" i="4" s="1"/>
  <c r="B35" i="4" s="1"/>
  <c r="C34" i="4"/>
  <c r="H33" i="4"/>
  <c r="I33" i="4"/>
  <c r="B33" i="5" s="1"/>
  <c r="G13" i="5"/>
  <c r="G35" i="4" l="1"/>
  <c r="E35" i="4"/>
  <c r="D35" i="4"/>
  <c r="J35" i="4" s="1"/>
  <c r="B36" i="4" s="1"/>
  <c r="C35" i="4"/>
  <c r="H13" i="5"/>
  <c r="I13" i="5" s="1"/>
  <c r="H34" i="4"/>
  <c r="I34" i="4" s="1"/>
  <c r="B34" i="5" s="1"/>
  <c r="M13" i="5" l="1"/>
  <c r="D14" i="5" s="1"/>
  <c r="K13" i="5"/>
  <c r="N13" i="5" s="1"/>
  <c r="D24" i="6" s="1"/>
  <c r="C24" i="6"/>
  <c r="C36" i="4"/>
  <c r="E36" i="4"/>
  <c r="G36" i="4"/>
  <c r="D36" i="4"/>
  <c r="J36" i="4" s="1"/>
  <c r="B37" i="4" s="1"/>
  <c r="L13" i="5"/>
  <c r="C14" i="5" s="1"/>
  <c r="B24" i="6"/>
  <c r="I35" i="4"/>
  <c r="B35" i="5" s="1"/>
  <c r="H35" i="4"/>
  <c r="G37" i="4" l="1"/>
  <c r="E37" i="4"/>
  <c r="J37" i="4" s="1"/>
  <c r="D37" i="4"/>
  <c r="C37" i="4"/>
  <c r="F14" i="5"/>
  <c r="H36" i="4"/>
  <c r="I36" i="4" s="1"/>
  <c r="B36" i="5" s="1"/>
  <c r="G14" i="5"/>
  <c r="H14" i="5" l="1"/>
  <c r="L14" i="5" s="1"/>
  <c r="C15" i="5" s="1"/>
  <c r="H37" i="4"/>
  <c r="I37" i="4" s="1"/>
  <c r="B37" i="5" s="1"/>
  <c r="B7" i="7" l="1"/>
  <c r="F15" i="5"/>
  <c r="B25" i="6"/>
  <c r="I14" i="5"/>
  <c r="M14" i="5" l="1"/>
  <c r="D15" i="5" s="1"/>
  <c r="C25" i="6"/>
  <c r="K14" i="5"/>
  <c r="N14" i="5" s="1"/>
  <c r="D25" i="6" s="1"/>
  <c r="G15" i="5" l="1"/>
  <c r="H15" i="5" l="1"/>
  <c r="L15" i="5" l="1"/>
  <c r="C16" i="5" s="1"/>
  <c r="B26" i="6"/>
  <c r="I15" i="5"/>
  <c r="F16" i="5" l="1"/>
  <c r="M15" i="5"/>
  <c r="D16" i="5" s="1"/>
  <c r="C26" i="6"/>
  <c r="K15" i="5"/>
  <c r="N15" i="5" s="1"/>
  <c r="D26" i="6" s="1"/>
  <c r="G16" i="5" l="1"/>
  <c r="H16" i="5"/>
  <c r="L16" i="5" s="1"/>
  <c r="C17" i="5" s="1"/>
  <c r="I16" i="5"/>
  <c r="M16" i="5" s="1"/>
  <c r="D17" i="5" s="1"/>
  <c r="G17" i="5" l="1"/>
  <c r="F17" i="5"/>
  <c r="K16" i="5"/>
  <c r="N16" i="5" s="1"/>
  <c r="D27" i="6" s="1"/>
  <c r="B27" i="6"/>
  <c r="C27" i="6"/>
  <c r="H17" i="5" l="1"/>
  <c r="L17" i="5" s="1"/>
  <c r="C18" i="5" s="1"/>
  <c r="I17" i="5"/>
  <c r="M17" i="5" s="1"/>
  <c r="D18" i="5" s="1"/>
  <c r="G18" i="5" l="1"/>
  <c r="C28" i="6"/>
  <c r="K17" i="5"/>
  <c r="N17" i="5" s="1"/>
  <c r="D28" i="6" s="1"/>
  <c r="F18" i="5"/>
  <c r="B28" i="6"/>
  <c r="H18" i="5" l="1"/>
  <c r="L18" i="5" s="1"/>
  <c r="C19" i="5" s="1"/>
  <c r="F19" i="5" l="1"/>
  <c r="I18" i="5"/>
  <c r="B29" i="6"/>
  <c r="M18" i="5" l="1"/>
  <c r="D19" i="5" s="1"/>
  <c r="C29" i="6"/>
  <c r="K18" i="5"/>
  <c r="N18" i="5" s="1"/>
  <c r="D29" i="6" s="1"/>
  <c r="G19" i="5" l="1"/>
  <c r="H19" i="5" l="1"/>
  <c r="I19" i="5" s="1"/>
  <c r="M19" i="5" l="1"/>
  <c r="D20" i="5" s="1"/>
  <c r="C30" i="6"/>
  <c r="L19" i="5"/>
  <c r="C20" i="5" s="1"/>
  <c r="B30" i="6"/>
  <c r="K19" i="5"/>
  <c r="N19" i="5" s="1"/>
  <c r="D30" i="6" s="1"/>
  <c r="F20" i="5" l="1"/>
  <c r="G20" i="5"/>
  <c r="B31" i="6" l="1"/>
  <c r="H20" i="5"/>
  <c r="L20" i="5" s="1"/>
  <c r="C21" i="5" s="1"/>
  <c r="F21" i="5" l="1"/>
  <c r="I20" i="5"/>
  <c r="K20" i="5" s="1"/>
  <c r="N20" i="5" s="1"/>
  <c r="D31" i="6" s="1"/>
  <c r="M20" i="5" l="1"/>
  <c r="D21" i="5" s="1"/>
  <c r="C31" i="6"/>
  <c r="G21" i="5" l="1"/>
  <c r="H21" i="5" l="1"/>
  <c r="L21" i="5" l="1"/>
  <c r="C22" i="5" s="1"/>
  <c r="B32" i="6"/>
  <c r="I21" i="5"/>
  <c r="K21" i="5"/>
  <c r="N21" i="5" s="1"/>
  <c r="D32" i="6" s="1"/>
  <c r="M21" i="5" l="1"/>
  <c r="D22" i="5" s="1"/>
  <c r="C32" i="6"/>
  <c r="F22" i="5"/>
  <c r="G22" i="5" l="1"/>
  <c r="H22" i="5" l="1"/>
  <c r="L22" i="5" l="1"/>
  <c r="C23" i="5" s="1"/>
  <c r="B33" i="6"/>
  <c r="I22" i="5"/>
  <c r="M22" i="5" l="1"/>
  <c r="D23" i="5" s="1"/>
  <c r="C33" i="6"/>
  <c r="F23" i="5"/>
  <c r="K22" i="5"/>
  <c r="N22" i="5" s="1"/>
  <c r="D33" i="6" s="1"/>
  <c r="G23" i="5" l="1"/>
  <c r="H23" i="5" l="1"/>
  <c r="L23" i="5" l="1"/>
  <c r="C24" i="5" s="1"/>
  <c r="B34" i="6"/>
  <c r="I23" i="5"/>
  <c r="M23" i="5" l="1"/>
  <c r="D24" i="5" s="1"/>
  <c r="C34" i="6"/>
  <c r="F24" i="5"/>
  <c r="K23" i="5"/>
  <c r="N23" i="5" s="1"/>
  <c r="D34" i="6" s="1"/>
  <c r="G24" i="5" l="1"/>
  <c r="H24" i="5" l="1"/>
  <c r="I24" i="5"/>
  <c r="M24" i="5" s="1"/>
  <c r="D25" i="5" s="1"/>
  <c r="K24" i="5" l="1"/>
  <c r="N24" i="5" s="1"/>
  <c r="D35" i="6" s="1"/>
  <c r="L24" i="5"/>
  <c r="C25" i="5" s="1"/>
  <c r="B35" i="6"/>
  <c r="G25" i="5"/>
  <c r="C35" i="6"/>
  <c r="F25" i="5" l="1"/>
  <c r="I25" i="5" l="1"/>
  <c r="H25" i="5"/>
  <c r="L25" i="5" s="1"/>
  <c r="C26" i="5" s="1"/>
  <c r="F26" i="5" l="1"/>
  <c r="M25" i="5"/>
  <c r="D26" i="5" s="1"/>
  <c r="C36" i="6"/>
  <c r="K25" i="5"/>
  <c r="N25" i="5" s="1"/>
  <c r="D36" i="6" s="1"/>
  <c r="B36" i="6"/>
  <c r="G26" i="5" l="1"/>
  <c r="H26" i="5"/>
  <c r="L26" i="5" s="1"/>
  <c r="C27" i="5" s="1"/>
  <c r="F27" i="5" l="1"/>
  <c r="B37" i="6"/>
  <c r="I26" i="5"/>
  <c r="M26" i="5" s="1"/>
  <c r="D27" i="5" s="1"/>
  <c r="C37" i="6" l="1"/>
  <c r="G27" i="5"/>
  <c r="K26" i="5"/>
  <c r="N26" i="5" s="1"/>
  <c r="D37" i="6" s="1"/>
  <c r="H27" i="5" l="1"/>
  <c r="L27" i="5" l="1"/>
  <c r="C28" i="5" s="1"/>
  <c r="B38" i="6"/>
  <c r="I27" i="5"/>
  <c r="K27" i="5"/>
  <c r="N27" i="5" s="1"/>
  <c r="D38" i="6" s="1"/>
  <c r="M27" i="5" l="1"/>
  <c r="D28" i="5" s="1"/>
  <c r="C38" i="6"/>
  <c r="F28" i="5"/>
  <c r="G28" i="5" l="1"/>
  <c r="H28" i="5" l="1"/>
  <c r="L28" i="5" l="1"/>
  <c r="C29" i="5" s="1"/>
  <c r="B39" i="6"/>
  <c r="I28" i="5"/>
  <c r="K28" i="5" s="1"/>
  <c r="N28" i="5" s="1"/>
  <c r="D39" i="6" s="1"/>
  <c r="M28" i="5" l="1"/>
  <c r="D29" i="5" s="1"/>
  <c r="C39" i="6"/>
  <c r="F29" i="5"/>
  <c r="G29" i="5" l="1"/>
  <c r="H29" i="5" l="1"/>
  <c r="L29" i="5" l="1"/>
  <c r="C30" i="5" s="1"/>
  <c r="B40" i="6"/>
  <c r="I29" i="5"/>
  <c r="K29" i="5" s="1"/>
  <c r="N29" i="5" s="1"/>
  <c r="D40" i="6" s="1"/>
  <c r="M29" i="5" l="1"/>
  <c r="D30" i="5" s="1"/>
  <c r="C40" i="6"/>
  <c r="F30" i="5"/>
  <c r="G30" i="5" l="1"/>
  <c r="I30" i="5" l="1"/>
  <c r="M30" i="5" s="1"/>
  <c r="D31" i="5" s="1"/>
  <c r="H30" i="5"/>
  <c r="L30" i="5" l="1"/>
  <c r="C31" i="5" s="1"/>
  <c r="B41" i="6"/>
  <c r="K30" i="5"/>
  <c r="N30" i="5" s="1"/>
  <c r="D41" i="6" s="1"/>
  <c r="G31" i="5"/>
  <c r="C41" i="6"/>
  <c r="F31" i="5" l="1"/>
  <c r="H31" i="5" l="1"/>
  <c r="L31" i="5" s="1"/>
  <c r="C32" i="5" s="1"/>
  <c r="I31" i="5"/>
  <c r="M31" i="5" l="1"/>
  <c r="D32" i="5" s="1"/>
  <c r="C42" i="6"/>
  <c r="K31" i="5"/>
  <c r="N31" i="5" s="1"/>
  <c r="D42" i="6" s="1"/>
  <c r="F32" i="5"/>
  <c r="B42" i="6"/>
  <c r="G32" i="5" l="1"/>
  <c r="H32" i="5" l="1"/>
  <c r="K32" i="5" s="1"/>
  <c r="N32" i="5" s="1"/>
  <c r="D43" i="6" s="1"/>
  <c r="I32" i="5"/>
  <c r="M32" i="5" s="1"/>
  <c r="D33" i="5" s="1"/>
  <c r="G33" i="5" l="1"/>
  <c r="L32" i="5"/>
  <c r="C33" i="5" s="1"/>
  <c r="B43" i="6"/>
  <c r="C43" i="6"/>
  <c r="F33" i="5" l="1"/>
  <c r="B44" i="6" l="1"/>
  <c r="H33" i="5"/>
  <c r="L33" i="5" s="1"/>
  <c r="C34" i="5" s="1"/>
  <c r="I33" i="5"/>
  <c r="K33" i="5" s="1"/>
  <c r="N33" i="5" s="1"/>
  <c r="D44" i="6" s="1"/>
  <c r="M33" i="5" l="1"/>
  <c r="D34" i="5" s="1"/>
  <c r="C44" i="6"/>
  <c r="F34" i="5"/>
  <c r="G34" i="5" l="1"/>
  <c r="H34" i="5" s="1"/>
  <c r="L34" i="5" l="1"/>
  <c r="C35" i="5" s="1"/>
  <c r="B45" i="6"/>
  <c r="I34" i="5"/>
  <c r="M34" i="5" s="1"/>
  <c r="D35" i="5" s="1"/>
  <c r="G35" i="5" l="1"/>
  <c r="C45" i="6"/>
  <c r="K34" i="5"/>
  <c r="N34" i="5" s="1"/>
  <c r="D45" i="6" s="1"/>
  <c r="F35" i="5"/>
  <c r="H35" i="5" l="1"/>
  <c r="L35" i="5" s="1"/>
  <c r="C36" i="5" s="1"/>
  <c r="F36" i="5" l="1"/>
  <c r="I35" i="5"/>
  <c r="B46" i="6"/>
  <c r="M35" i="5" l="1"/>
  <c r="D36" i="5" s="1"/>
  <c r="C46" i="6"/>
  <c r="K35" i="5"/>
  <c r="N35" i="5" s="1"/>
  <c r="D46" i="6" s="1"/>
  <c r="G36" i="5" l="1"/>
  <c r="I36" i="5" l="1"/>
  <c r="M36" i="5" s="1"/>
  <c r="D37" i="5" s="1"/>
  <c r="H36" i="5"/>
  <c r="K36" i="5" l="1"/>
  <c r="N36" i="5" s="1"/>
  <c r="D47" i="6" s="1"/>
  <c r="L36" i="5"/>
  <c r="C37" i="5" s="1"/>
  <c r="B47" i="6"/>
  <c r="G37" i="5"/>
  <c r="C47" i="6"/>
  <c r="F37" i="5" l="1"/>
  <c r="H37" i="5" l="1"/>
  <c r="B9" i="6" l="1"/>
  <c r="E7" i="7" s="1"/>
  <c r="L37" i="5"/>
  <c r="I37" i="5"/>
  <c r="K37" i="5" s="1"/>
  <c r="N37" i="5" s="1"/>
  <c r="B4" i="6"/>
  <c r="B48" i="6"/>
  <c r="B6" i="6" s="1"/>
  <c r="D48" i="6" l="1"/>
  <c r="D6" i="6" s="1"/>
  <c r="D4" i="6"/>
  <c r="B8" i="7"/>
  <c r="E3" i="7"/>
  <c r="B7" i="6"/>
  <c r="C9" i="6"/>
  <c r="E8" i="7" s="1"/>
  <c r="M37" i="5"/>
  <c r="C48" i="6"/>
  <c r="C6" i="6" s="1"/>
  <c r="C4" i="6"/>
  <c r="E4" i="7" l="1"/>
  <c r="C7" i="6"/>
  <c r="E5" i="7"/>
  <c r="D7" i="6"/>
</calcChain>
</file>

<file path=xl/sharedStrings.xml><?xml version="1.0" encoding="utf-8"?>
<sst xmlns="http://schemas.openxmlformats.org/spreadsheetml/2006/main" count="545" uniqueCount="244">
  <si>
    <t>Item</t>
  </si>
  <si>
    <t>Value</t>
  </si>
  <si>
    <t>Notes</t>
  </si>
  <si>
    <t>Initial Pool Balance</t>
  </si>
  <si>
    <t>Sum of principals across 150 synthetic loans</t>
  </si>
  <si>
    <t>Annual Default Rate (Base)</t>
  </si>
  <si>
    <t>Constant hazard on beginning balance</t>
  </si>
  <si>
    <t>Annual Default Rate (Stress)</t>
  </si>
  <si>
    <t>Higher stress</t>
  </si>
  <si>
    <t>Recovery Rate</t>
  </si>
  <si>
    <t>Applied to defaults with 3-month lag</t>
  </si>
  <si>
    <t>Annual Prepayment Rate</t>
  </si>
  <si>
    <t>CPR approximation</t>
  </si>
  <si>
    <t>Servicing/Fee as % of Collections</t>
  </si>
  <si>
    <t>Simple fee on monthly collections</t>
  </si>
  <si>
    <t>Senior Tranche % of Notes</t>
  </si>
  <si>
    <t>Share of total notes</t>
  </si>
  <si>
    <t>Mezz Tranche % of Notes</t>
  </si>
  <si>
    <t>Equity Tranche % of Notes</t>
  </si>
  <si>
    <t>Overcollateralization %</t>
  </si>
  <si>
    <t>Pool balance exceeds notes by this % at closing</t>
  </si>
  <si>
    <t>Senior Rate (annual)</t>
  </si>
  <si>
    <t>Coupon on Senior</t>
  </si>
  <si>
    <t>Mezz Rate (annual)</t>
  </si>
  <si>
    <t>Coupon on Mezz</t>
  </si>
  <si>
    <t>Equity Target Rate (display only)</t>
  </si>
  <si>
    <t>Display only</t>
  </si>
  <si>
    <t>Months</t>
  </si>
  <si>
    <t>Projection length</t>
  </si>
  <si>
    <t>Recovery Lag (months)</t>
  </si>
  <si>
    <t>Timing for recoveries</t>
  </si>
  <si>
    <t>LoanID</t>
  </si>
  <si>
    <t>Segment</t>
  </si>
  <si>
    <t>Principal</t>
  </si>
  <si>
    <t>Rate_Annual</t>
  </si>
  <si>
    <t>Term_Months</t>
  </si>
  <si>
    <t>StartDate</t>
  </si>
  <si>
    <t>DefaultProb_Annual</t>
  </si>
  <si>
    <t>RecoveryRate</t>
  </si>
  <si>
    <t>L001</t>
  </si>
  <si>
    <t>SmallBiz</t>
  </si>
  <si>
    <t>2026-01-01</t>
  </si>
  <si>
    <t>L002</t>
  </si>
  <si>
    <t>L003</t>
  </si>
  <si>
    <t>L004</t>
  </si>
  <si>
    <t>WholeBusiness</t>
  </si>
  <si>
    <t>L005</t>
  </si>
  <si>
    <t>L006</t>
  </si>
  <si>
    <t>EquipmentLease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</si>
  <si>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</si>
  <si>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</si>
  <si>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</si>
  <si>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</si>
  <si>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</si>
  <si>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</si>
  <si>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</si>
  <si>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</si>
  <si>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</si>
  <si>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</si>
  <si>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</si>
  <si>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</si>
  <si>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</si>
  <si>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</si>
  <si>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</si>
  <si>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</si>
  <si>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</si>
  <si>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</si>
  <si>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</si>
  <si>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</si>
  <si>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</si>
  <si>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</si>
  <si>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</si>
  <si>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</si>
  <si>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</si>
  <si>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</si>
  <si>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</si>
  <si>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</si>
  <si>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</si>
  <si>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</si>
  <si>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</si>
  <si>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</si>
  <si>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</si>
  <si>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</si>
  <si>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</si>
  <si>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</si>
  <si>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</si>
  <si>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</si>
  <si>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</si>
  <si>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</si>
  <si>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</si>
  <si>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</si>
  <si>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</si>
  <si>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</si>
  <si>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</si>
  <si>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</si>
  <si>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</si>
  <si>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</si>
  <si>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</si>
  <si>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</si>
  <si>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</si>
  <si>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</si>
  <si>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</si>
  <si>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</si>
  <si>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</si>
  <si>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</si>
  <si>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</si>
  <si>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</si>
  <si>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</si>
  <si>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</si>
  <si>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</si>
  <si>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</si>
  <si>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</si>
  <si>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</si>
  <si>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</si>
  <si>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</si>
  <si>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</si>
  <si>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</si>
  <si>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</si>
  <si>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</si>
  <si>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</si>
  <si>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</si>
  <si>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</si>
  <si>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</si>
  <si>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</si>
  <si>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</si>
  <si>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</si>
  <si>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</si>
  <si>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</si>
  <si>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</si>
  <si>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</si>
  <si>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</si>
  <si>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</si>
  <si>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</si>
  <si>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</si>
  <si>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</si>
  <si>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</si>
  <si>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</si>
  <si>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</si>
  <si>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</si>
  <si>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</si>
  <si>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</si>
  <si>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</si>
  <si>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</si>
  <si>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</si>
  <si>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</si>
  <si>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</si>
  <si>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</si>
  <si>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</si>
  <si>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</si>
  <si>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</si>
  <si>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</si>
  <si>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</si>
  <si>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</si>
  <si>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</si>
  <si>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</si>
  <si>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</si>
  <si>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</si>
  <si>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</si>
  <si>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</si>
  <si>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</si>
  <si>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</si>
  <si>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</si>
  <si>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</si>
  <si>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</si>
  <si>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</si>
  <si>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</si>
  <si>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</si>
  <si>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</si>
  <si>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</si>
  <si>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</si>
  <si>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</si>
  <si>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</si>
  <si>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</si>
  <si>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</si>
  <si>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</si>
  <si>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</si>
  <si>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</si>
  <si>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</si>
  <si>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</si>
  <si>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</si>
  <si>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</si>
  <si>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</si>
  <si>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</si>
  <si>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</si>
  <si>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</si>
  <si>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</si>
  <si>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</si>
  <si>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</si>
  <si>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</si>
  <si>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</si>
  <si>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</si>
  <si>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</si>
  <si>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</si>
  <si>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Month</t>
  </si>
  <si>
    <t>Beg_Bal</t>
  </si>
  <si>
    <t>Sched_Interest</t>
  </si>
  <si>
    <t>Sched_Principal</t>
  </si>
  <si>
    <t>Defaults</t>
  </si>
  <si>
    <t>Recoveries</t>
  </si>
  <si>
    <t>Prepayments</t>
  </si>
  <si>
    <t>Fees</t>
  </si>
  <si>
    <t>Collections</t>
  </si>
  <si>
    <t>End_Bal</t>
  </si>
  <si>
    <t>Sr_BegBal</t>
  </si>
  <si>
    <t>Mz_BegBal</t>
  </si>
  <si>
    <t>Eq_BegBal</t>
  </si>
  <si>
    <t>Sr_Int</t>
  </si>
  <si>
    <t>Mz_Int</t>
  </si>
  <si>
    <t>Sr_Principal</t>
  </si>
  <si>
    <t>Mz_Principal</t>
  </si>
  <si>
    <t>Fees_Addl</t>
  </si>
  <si>
    <t>Residual_to_Equity</t>
  </si>
  <si>
    <t>Sr_EndBal</t>
  </si>
  <si>
    <t>Mz_EndBal</t>
  </si>
  <si>
    <t>Eq_Cash</t>
  </si>
  <si>
    <t>Metric</t>
  </si>
  <si>
    <t>Senior</t>
  </si>
  <si>
    <t>Mezz</t>
  </si>
  <si>
    <t>Equity</t>
  </si>
  <si>
    <t>Initial Investment</t>
  </si>
  <si>
    <t>Sum of Cash Inflows (periodic)</t>
  </si>
  <si>
    <t>IRR (Monthly)</t>
  </si>
  <si>
    <t>CF Series (for IRR)</t>
  </si>
  <si>
    <t>IRR (Annualized approx)</t>
  </si>
  <si>
    <t>WAL (months)</t>
  </si>
  <si>
    <t>-</t>
  </si>
  <si>
    <t>ABS Waterfall – One‑Pager (Export)</t>
  </si>
  <si>
    <t>Initial Pool</t>
  </si>
  <si>
    <t>Default Rate</t>
  </si>
  <si>
    <t>CPR</t>
  </si>
  <si>
    <t>Senior IRR (ann.)</t>
  </si>
  <si>
    <t>Mezz IRR (ann.)</t>
  </si>
  <si>
    <t>Equity IRR (ann.)</t>
  </si>
  <si>
    <t>WAL Senior (mo)</t>
  </si>
  <si>
    <t>WAL Mezz (mo)</t>
  </si>
  <si>
    <t>Total Collections</t>
  </si>
  <si>
    <t>Equity Residual (Total)</t>
  </si>
  <si>
    <t>How to use:</t>
  </si>
  <si>
    <t>2) The 'Portfolio_CF' sheet rolls monthly balances &amp; collections using formulas.</t>
  </si>
  <si>
    <t>3) The 'Waterfall' sheet allocates collections to Senior → Mezz → Equity with priority of payments.</t>
  </si>
  <si>
    <t>4) 'Tranche_Summary' computes IRR and WAL; compare Base vs. Stress by adjusting assumptions.</t>
  </si>
  <si>
    <t>1) Change assumptions as needed on the 'Assumptions' sheet (defaults, recoveries, prepayments, fees, tranche sizes/rates).</t>
  </si>
  <si>
    <t>Includes 'Dashboard' sheet for a clean one‑pager with key metrics and a chart.</t>
  </si>
  <si>
    <t>ABS Cash Flow Showcase – Sadaf Davre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</si>
</sst>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 x14ac:knownFonts="1">
    <font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3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Collections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Collections</c:v>
          </c:tx>
          <c:invertIfNegative val="0"/>
          <c:cat>
            <c:numRef>
              <c:f>Waterfall!$A$2:$A$37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Waterfall!$B$2:$B$37</c:f>
              <c:numCache>
                <c:formatCode>\$#,##0</c:formatCode>
                <c:ptCount val="36"/>
                <c:pt idx="0">
                  <c:v>155967.81478933335</c:v>
                </c:pt>
                <c:pt idx="1">
                  <c:v>154424.04542278012</c:v>
                </c:pt>
                <c:pt idx="2">
                  <c:v>152893.25161638955</c:v>
                </c:pt>
                <c:pt idx="3">
                  <c:v>163865.13009643948</c:v>
                </c:pt>
                <c:pt idx="4">
                  <c:v>161929.64975311025</c:v>
                </c:pt>
                <c:pt idx="5">
                  <c:v>160011.95507542632</c:v>
                </c:pt>
                <c:pt idx="6">
                  <c:v>158111.84538971473</c:v>
                </c:pt>
                <c:pt idx="7">
                  <c:v>156229.11682118918</c:v>
                </c:pt>
                <c:pt idx="8">
                  <c:v>154363.56162167698</c:v>
                </c:pt>
                <c:pt idx="9">
                  <c:v>152514.96737277426</c:v>
                </c:pt>
                <c:pt idx="10">
                  <c:v>150683.11603533814</c:v>
                </c:pt>
                <c:pt idx="11">
                  <c:v>148867.78280801544</c:v>
                </c:pt>
                <c:pt idx="12">
                  <c:v>147068.73474654445</c:v>
                </c:pt>
                <c:pt idx="13">
                  <c:v>145285.72908076961</c:v>
                </c:pt>
                <c:pt idx="14">
                  <c:v>143518.51114610207</c:v>
                </c:pt>
                <c:pt idx="15">
                  <c:v>141766.81181821309</c:v>
                </c:pt>
                <c:pt idx="16">
                  <c:v>140030.34430057203</c:v>
                </c:pt>
                <c:pt idx="17">
                  <c:v>138308.80005868306</c:v>
                </c:pt>
                <c:pt idx="18">
                  <c:v>136601.84361423613</c:v>
                </c:pt>
                <c:pt idx="19">
                  <c:v>134909.10579362401</c:v>
                </c:pt>
                <c:pt idx="20">
                  <c:v>133230.17484689943</c:v>
                </c:pt>
                <c:pt idx="21">
                  <c:v>131564.58457935895</c:v>
                </c:pt>
                <c:pt idx="22">
                  <c:v>129911.79820697325</c:v>
                </c:pt>
                <c:pt idx="23">
                  <c:v>128271.18594979822</c:v>
                </c:pt>
                <c:pt idx="24">
                  <c:v>126641.99321419545</c:v>
                </c:pt>
                <c:pt idx="25">
                  <c:v>125023.29420281565</c:v>
                </c:pt>
                <c:pt idx="26">
                  <c:v>123413.92216546567</c:v>
                </c:pt>
                <c:pt idx="27">
                  <c:v>121812.3606469779</c:v>
                </c:pt>
                <c:pt idx="28">
                  <c:v>120216.56635826765</c:v>
                </c:pt>
                <c:pt idx="29">
                  <c:v>118623.66484249481</c:v>
                </c:pt>
                <c:pt idx="30">
                  <c:v>117029.39130777467</c:v>
                </c:pt>
                <c:pt idx="31">
                  <c:v>115426.96993382905</c:v>
                </c:pt>
                <c:pt idx="32">
                  <c:v>113804.58725092022</c:v>
                </c:pt>
                <c:pt idx="33">
                  <c:v>112138.64182739615</c:v>
                </c:pt>
                <c:pt idx="34">
                  <c:v>110370.07764947327</c:v>
                </c:pt>
                <c:pt idx="35">
                  <c:v>108262.17054231658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C-4E08-A4A2-ED8B0D31F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\$#,##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Note Paydown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Sr_EndBal</c:v>
          </c:tx>
          <c:marker>
            <c:symbol val="none"/>
          </c:marker>
          <c:cat>
            <c:numRef>
              <c:f>Waterfall!$A$2:$A$37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Waterfall!$L$2:$L$37</c:f>
              <c:numCache>
                <c:formatCode>\$#,##0</c:formatCode>
                <c:ptCount val="36"/>
                <c:pt idx="0">
                  <c:v>3223858.5852106665</c:v>
                </c:pt>
                <c:pt idx="1">
                  <c:v>3092744.9527139398</c:v>
                </c:pt>
                <c:pt idx="2">
                  <c:v>2962506.5458611199</c:v>
                </c:pt>
                <c:pt idx="3">
                  <c:v>2820645.068493986</c:v>
                </c:pt>
                <c:pt idx="4">
                  <c:v>2680009.7640833459</c:v>
                </c:pt>
                <c:pt idx="5">
                  <c:v>2540588.9778283364</c:v>
                </c:pt>
                <c:pt idx="6">
                  <c:v>2402371.1973277633</c:v>
                </c:pt>
                <c:pt idx="7">
                  <c:v>2265345.0564932129</c:v>
                </c:pt>
                <c:pt idx="8">
                  <c:v>2129499.340154002</c:v>
                </c:pt>
                <c:pt idx="9">
                  <c:v>1994822.9894819977</c:v>
                </c:pt>
                <c:pt idx="10">
                  <c:v>1861305.1083940696</c:v>
                </c:pt>
                <c:pt idx="11">
                  <c:v>1728934.9711280246</c:v>
                </c:pt>
                <c:pt idx="12">
                  <c:v>1597702.0312371203</c:v>
                </c:pt>
                <c:pt idx="13">
                  <c:v>1467595.9323125363</c:v>
                </c:pt>
                <c:pt idx="14">
                  <c:v>1338606.520827997</c:v>
                </c:pt>
                <c:pt idx="15">
                  <c:v>1210723.8616139239</c:v>
                </c:pt>
                <c:pt idx="16">
                  <c:v>1083938.2566214215</c:v>
                </c:pt>
                <c:pt idx="17">
                  <c:v>958240.26784584555</c:v>
                </c:pt>
                <c:pt idx="18">
                  <c:v>833620.74557083868</c:v>
                </c:pt>
                <c:pt idx="19">
                  <c:v>710070.86350506882</c:v>
                </c:pt>
                <c:pt idx="20">
                  <c:v>587582.16297569475</c:v>
                </c:pt>
                <c:pt idx="21">
                  <c:v>466146.60921121424</c:v>
                </c:pt>
                <c:pt idx="22">
                  <c:v>345756.66405029705</c:v>
                </c:pt>
                <c:pt idx="23">
                  <c:v>226405.38142075032</c:v>
                </c:pt>
                <c:pt idx="24">
                  <c:v>108086.53511365861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C8-4464-B19D-1F7B524B1993}"/>
            </c:ext>
          </c:extLst>
        </c:ser>
        <c:ser>
          <c:idx val="1"/>
          <c:order val="1"/>
          <c:tx>
            <c:v>Mz_EndBal</c:v>
          </c:tx>
          <c:marker>
            <c:symbol val="none"/>
          </c:marker>
          <c:cat>
            <c:numRef>
              <c:f>Waterfall!$A$2:$A$37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Waterfall!$M$2:$M$37</c:f>
              <c:numCache>
                <c:formatCode>\$#,##0</c:formatCode>
                <c:ptCount val="36"/>
                <c:pt idx="0">
                  <c:v>958816</c:v>
                </c:pt>
                <c:pt idx="1">
                  <c:v>958816</c:v>
                </c:pt>
                <c:pt idx="2">
                  <c:v>958816</c:v>
                </c:pt>
                <c:pt idx="3">
                  <c:v>958816</c:v>
                </c:pt>
                <c:pt idx="4">
                  <c:v>958816</c:v>
                </c:pt>
                <c:pt idx="5">
                  <c:v>958816</c:v>
                </c:pt>
                <c:pt idx="6">
                  <c:v>958816</c:v>
                </c:pt>
                <c:pt idx="7">
                  <c:v>958816</c:v>
                </c:pt>
                <c:pt idx="8">
                  <c:v>958816</c:v>
                </c:pt>
                <c:pt idx="9">
                  <c:v>958816</c:v>
                </c:pt>
                <c:pt idx="10">
                  <c:v>958816</c:v>
                </c:pt>
                <c:pt idx="11">
                  <c:v>958816</c:v>
                </c:pt>
                <c:pt idx="12">
                  <c:v>958816</c:v>
                </c:pt>
                <c:pt idx="13">
                  <c:v>958816</c:v>
                </c:pt>
                <c:pt idx="14">
                  <c:v>958816</c:v>
                </c:pt>
                <c:pt idx="15">
                  <c:v>958816</c:v>
                </c:pt>
                <c:pt idx="16">
                  <c:v>958816</c:v>
                </c:pt>
                <c:pt idx="17">
                  <c:v>958816</c:v>
                </c:pt>
                <c:pt idx="18">
                  <c:v>958816</c:v>
                </c:pt>
                <c:pt idx="19">
                  <c:v>958816</c:v>
                </c:pt>
                <c:pt idx="20">
                  <c:v>958816</c:v>
                </c:pt>
                <c:pt idx="21">
                  <c:v>958816</c:v>
                </c:pt>
                <c:pt idx="22">
                  <c:v>958816</c:v>
                </c:pt>
                <c:pt idx="23">
                  <c:v>958816</c:v>
                </c:pt>
                <c:pt idx="24">
                  <c:v>958816</c:v>
                </c:pt>
                <c:pt idx="25">
                  <c:v>949610.79358641128</c:v>
                </c:pt>
                <c:pt idx="26">
                  <c:v>833318.95237284363</c:v>
                </c:pt>
                <c:pt idx="27">
                  <c:v>717756.48386866204</c:v>
                </c:pt>
                <c:pt idx="28">
                  <c:v>602923.09113940934</c:v>
                </c:pt>
                <c:pt idx="29">
                  <c:v>488821.34948046011</c:v>
                </c:pt>
                <c:pt idx="30">
                  <c:v>375458.11829378887</c:v>
                </c:pt>
                <c:pt idx="31">
                  <c:v>262847.08424716326</c:v>
                </c:pt>
                <c:pt idx="32">
                  <c:v>151013.85012809676</c:v>
                </c:pt>
                <c:pt idx="33">
                  <c:v>40007.812176661348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C8-4464-B19D-1F7B524B1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\$#,##0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714375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5</xdr:col>
      <xdr:colOff>714375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/>
  </sheetViews>
  <sheetFormatPr defaultRowHeight="14.5" x14ac:dyDescent="0.35"/>
  <sheetData>
    <row r="1" spans="1:1" x14ac:dyDescent="0.35">
      <c r="A1" t="s">
        <v>243</v>
      </c>
    </row>
    <row r="2" spans="1:1" x14ac:dyDescent="0.35">
      <c r="A2" s="1"/>
    </row>
    <row r="3" spans="1:1" x14ac:dyDescent="0.35">
      <c r="A3" s="6" t="s">
        <v>237</v>
      </c>
    </row>
    <row r="4" spans="1:1" x14ac:dyDescent="0.35">
      <c r="A4" t="s">
        <v>241</v>
      </c>
    </row>
    <row r="5" spans="1:1" x14ac:dyDescent="0.35">
      <c r="A5" t="s">
        <v>238</v>
      </c>
    </row>
    <row r="6" spans="1:1" x14ac:dyDescent="0.35">
      <c r="A6" t="s">
        <v>239</v>
      </c>
    </row>
    <row r="7" spans="1:1" x14ac:dyDescent="0.35">
      <c r="A7" t="s">
        <v>240</v>
      </c>
    </row>
    <row r="9" spans="1:1" x14ac:dyDescent="0.35">
      <c r="A9" s="1" t="s">
        <v>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4.5" x14ac:dyDescent="0.35"/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3</v>
      </c>
      <c r="B2" s="3">
        <v>5046400</v>
      </c>
      <c r="C2" t="s">
        <v>4</v>
      </c>
    </row>
    <row r="3" spans="1:3" x14ac:dyDescent="0.35">
      <c r="A3" t="s">
        <v>5</v>
      </c>
      <c r="B3" s="4">
        <v>0.05</v>
      </c>
      <c r="C3" t="s">
        <v>6</v>
      </c>
    </row>
    <row r="4" spans="1:3" x14ac:dyDescent="0.35">
      <c r="A4" t="s">
        <v>7</v>
      </c>
      <c r="B4" s="4">
        <v>0.12</v>
      </c>
      <c r="C4" t="s">
        <v>8</v>
      </c>
    </row>
    <row r="5" spans="1:3" x14ac:dyDescent="0.35">
      <c r="A5" t="s">
        <v>9</v>
      </c>
      <c r="B5" s="4">
        <v>0.6</v>
      </c>
      <c r="C5" t="s">
        <v>10</v>
      </c>
    </row>
    <row r="6" spans="1:3" x14ac:dyDescent="0.35">
      <c r="A6" t="s">
        <v>11</v>
      </c>
      <c r="B6" s="4">
        <v>0.03</v>
      </c>
      <c r="C6" t="s">
        <v>12</v>
      </c>
    </row>
    <row r="7" spans="1:3" x14ac:dyDescent="0.35">
      <c r="A7" t="s">
        <v>13</v>
      </c>
      <c r="B7" s="4">
        <v>0.01</v>
      </c>
      <c r="C7" t="s">
        <v>14</v>
      </c>
    </row>
    <row r="8" spans="1:3" x14ac:dyDescent="0.35">
      <c r="A8" t="s">
        <v>15</v>
      </c>
      <c r="B8" s="4">
        <v>0.7</v>
      </c>
      <c r="C8" t="s">
        <v>16</v>
      </c>
    </row>
    <row r="9" spans="1:3" x14ac:dyDescent="0.35">
      <c r="A9" t="s">
        <v>17</v>
      </c>
      <c r="B9" s="4">
        <v>0.2</v>
      </c>
      <c r="C9" t="s">
        <v>16</v>
      </c>
    </row>
    <row r="10" spans="1:3" x14ac:dyDescent="0.35">
      <c r="A10" t="s">
        <v>18</v>
      </c>
      <c r="B10" s="4">
        <v>0.1</v>
      </c>
      <c r="C10" t="s">
        <v>16</v>
      </c>
    </row>
    <row r="11" spans="1:3" x14ac:dyDescent="0.35">
      <c r="A11" t="s">
        <v>19</v>
      </c>
      <c r="B11" s="4">
        <v>0.05</v>
      </c>
      <c r="C11" t="s">
        <v>20</v>
      </c>
    </row>
    <row r="12" spans="1:3" x14ac:dyDescent="0.35">
      <c r="A12" t="s">
        <v>21</v>
      </c>
      <c r="B12" s="3">
        <v>0.06</v>
      </c>
      <c r="C12" t="s">
        <v>22</v>
      </c>
    </row>
    <row r="13" spans="1:3" x14ac:dyDescent="0.35">
      <c r="A13" t="s">
        <v>23</v>
      </c>
      <c r="B13" s="3">
        <v>0.09</v>
      </c>
      <c r="C13" t="s">
        <v>24</v>
      </c>
    </row>
    <row r="14" spans="1:3" x14ac:dyDescent="0.35">
      <c r="A14" t="s">
        <v>25</v>
      </c>
      <c r="B14" s="3">
        <v>0.15</v>
      </c>
      <c r="C14" t="s">
        <v>26</v>
      </c>
    </row>
    <row r="15" spans="1:3" x14ac:dyDescent="0.35">
      <c r="A15" t="s">
        <v>27</v>
      </c>
      <c r="B15" s="3">
        <v>36</v>
      </c>
      <c r="C15" t="s">
        <v>28</v>
      </c>
    </row>
    <row r="16" spans="1:3" x14ac:dyDescent="0.35">
      <c r="A16" t="s">
        <v>29</v>
      </c>
      <c r="B16" s="3">
        <v>3</v>
      </c>
      <c r="C16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1"/>
  <sheetViews>
    <sheetView workbookViewId="0"/>
  </sheetViews>
  <sheetFormatPr defaultRowHeight="14.5" x14ac:dyDescent="0.35"/>
  <sheetData>
    <row r="1" spans="1:8" x14ac:dyDescent="0.3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  <row r="2" spans="1:8" x14ac:dyDescent="0.35">
      <c r="A2" t="s">
        <v>39</v>
      </c>
      <c r="B2" t="s">
        <v>40</v>
      </c>
      <c r="C2">
        <v>28700</v>
      </c>
      <c r="D2">
        <v>0.16900000000000001</v>
      </c>
      <c r="E2">
        <v>30</v>
      </c>
      <c r="F2" t="s">
        <v>41</v>
      </c>
      <c r="G2">
        <v>6.6400000000000001E-2</v>
      </c>
      <c r="H2">
        <v>0.49</v>
      </c>
    </row>
    <row r="3" spans="1:8" x14ac:dyDescent="0.35">
      <c r="A3" t="s">
        <v>42</v>
      </c>
      <c r="B3" t="s">
        <v>40</v>
      </c>
      <c r="C3">
        <v>57500</v>
      </c>
      <c r="D3">
        <v>8.8700000000000001E-2</v>
      </c>
      <c r="E3">
        <v>32</v>
      </c>
      <c r="F3" t="s">
        <v>41</v>
      </c>
      <c r="G3">
        <v>4.7300000000000002E-2</v>
      </c>
      <c r="H3">
        <v>0.57999999999999996</v>
      </c>
    </row>
    <row r="4" spans="1:8" x14ac:dyDescent="0.35">
      <c r="A4" t="s">
        <v>43</v>
      </c>
      <c r="B4" t="s">
        <v>40</v>
      </c>
      <c r="C4">
        <v>46600</v>
      </c>
      <c r="D4">
        <v>7.7399999999999997E-2</v>
      </c>
      <c r="E4">
        <v>20</v>
      </c>
      <c r="F4" t="s">
        <v>41</v>
      </c>
      <c r="G4">
        <v>6.3E-2</v>
      </c>
      <c r="H4">
        <v>0.6</v>
      </c>
    </row>
    <row r="5" spans="1:8" x14ac:dyDescent="0.35">
      <c r="A5" t="s">
        <v>44</v>
      </c>
      <c r="B5" t="s">
        <v>45</v>
      </c>
      <c r="C5">
        <v>39900</v>
      </c>
      <c r="D5">
        <v>0.1187</v>
      </c>
      <c r="E5">
        <v>25</v>
      </c>
      <c r="F5" t="s">
        <v>41</v>
      </c>
      <c r="G5">
        <v>5.6800000000000003E-2</v>
      </c>
      <c r="H5">
        <v>0.54</v>
      </c>
    </row>
    <row r="6" spans="1:8" x14ac:dyDescent="0.35">
      <c r="A6" t="s">
        <v>46</v>
      </c>
      <c r="B6" t="s">
        <v>40</v>
      </c>
      <c r="C6">
        <v>17800</v>
      </c>
      <c r="D6">
        <v>0.17829999999999999</v>
      </c>
      <c r="E6">
        <v>33</v>
      </c>
      <c r="F6" t="s">
        <v>41</v>
      </c>
      <c r="G6">
        <v>6.6799999999999998E-2</v>
      </c>
      <c r="H6">
        <v>0.61</v>
      </c>
    </row>
    <row r="7" spans="1:8" x14ac:dyDescent="0.35">
      <c r="A7" t="s">
        <v>47</v>
      </c>
      <c r="B7" t="s">
        <v>48</v>
      </c>
      <c r="C7">
        <v>17800</v>
      </c>
      <c r="D7">
        <v>8.8999999999999996E-2</v>
      </c>
      <c r="E7">
        <v>30</v>
      </c>
      <c r="F7" t="s">
        <v>41</v>
      </c>
      <c r="G7">
        <v>5.1999999999999998E-2</v>
      </c>
      <c r="H7">
        <v>0.67</v>
      </c>
    </row>
    <row r="8" spans="1:8" x14ac:dyDescent="0.35">
      <c r="A8" t="s">
        <v>49</v>
      </c>
      <c r="B8" t="s">
        <v>40</v>
      </c>
      <c r="C8">
        <v>12900</v>
      </c>
      <c r="D8">
        <v>0.14069999999999999</v>
      </c>
      <c r="E8">
        <v>35</v>
      </c>
      <c r="F8" t="s">
        <v>41</v>
      </c>
      <c r="G8">
        <v>7.5800000000000006E-2</v>
      </c>
      <c r="H8">
        <v>0.59</v>
      </c>
    </row>
    <row r="9" spans="1:8" x14ac:dyDescent="0.35">
      <c r="A9" t="s">
        <v>50</v>
      </c>
      <c r="B9" t="s">
        <v>48</v>
      </c>
      <c r="C9">
        <v>53300</v>
      </c>
      <c r="D9">
        <v>0.15140000000000001</v>
      </c>
      <c r="E9">
        <v>27</v>
      </c>
      <c r="F9" t="s">
        <v>41</v>
      </c>
      <c r="G9">
        <v>3.44E-2</v>
      </c>
      <c r="H9">
        <v>0.56000000000000005</v>
      </c>
    </row>
    <row r="10" spans="1:8" x14ac:dyDescent="0.35">
      <c r="A10" t="s">
        <v>51</v>
      </c>
      <c r="B10" t="s">
        <v>45</v>
      </c>
      <c r="C10">
        <v>40100</v>
      </c>
      <c r="D10">
        <v>8.8499999999999995E-2</v>
      </c>
      <c r="E10">
        <v>36</v>
      </c>
      <c r="F10" t="s">
        <v>41</v>
      </c>
      <c r="G10">
        <v>7.5700000000000003E-2</v>
      </c>
      <c r="H10">
        <v>0.53</v>
      </c>
    </row>
    <row r="11" spans="1:8" x14ac:dyDescent="0.35">
      <c r="A11" t="s">
        <v>52</v>
      </c>
      <c r="B11" t="s">
        <v>45</v>
      </c>
      <c r="C11">
        <v>45400</v>
      </c>
      <c r="D11">
        <v>0.1474</v>
      </c>
      <c r="E11">
        <v>34</v>
      </c>
      <c r="F11" t="s">
        <v>41</v>
      </c>
      <c r="G11">
        <v>5.2900000000000003E-2</v>
      </c>
      <c r="H11">
        <v>0.56999999999999995</v>
      </c>
    </row>
    <row r="12" spans="1:8" x14ac:dyDescent="0.35">
      <c r="A12" t="s">
        <v>53</v>
      </c>
      <c r="B12" t="s">
        <v>40</v>
      </c>
      <c r="C12">
        <v>11000</v>
      </c>
      <c r="D12">
        <v>0.1041</v>
      </c>
      <c r="E12">
        <v>36</v>
      </c>
      <c r="F12" t="s">
        <v>41</v>
      </c>
      <c r="G12">
        <v>8.9899999999999994E-2</v>
      </c>
      <c r="H12">
        <v>0.51</v>
      </c>
    </row>
    <row r="13" spans="1:8" x14ac:dyDescent="0.35">
      <c r="A13" t="s">
        <v>54</v>
      </c>
      <c r="B13" t="s">
        <v>45</v>
      </c>
      <c r="C13">
        <v>58500</v>
      </c>
      <c r="D13">
        <v>0.13589999999999999</v>
      </c>
      <c r="E13">
        <v>22</v>
      </c>
      <c r="F13" t="s">
        <v>41</v>
      </c>
      <c r="G13">
        <v>6.1199999999999997E-2</v>
      </c>
      <c r="H13">
        <v>0.52</v>
      </c>
    </row>
    <row r="14" spans="1:8" x14ac:dyDescent="0.35">
      <c r="A14" t="s">
        <v>55</v>
      </c>
      <c r="B14" t="s">
        <v>48</v>
      </c>
      <c r="C14">
        <v>51600</v>
      </c>
      <c r="D14">
        <v>0.13600000000000001</v>
      </c>
      <c r="E14">
        <v>26</v>
      </c>
      <c r="F14" t="s">
        <v>41</v>
      </c>
      <c r="G14">
        <v>9.7799999999999998E-2</v>
      </c>
      <c r="H14">
        <v>0.56000000000000005</v>
      </c>
    </row>
    <row r="15" spans="1:8" x14ac:dyDescent="0.35">
      <c r="A15" t="s">
        <v>56</v>
      </c>
      <c r="B15" t="s">
        <v>40</v>
      </c>
      <c r="C15">
        <v>20600</v>
      </c>
      <c r="D15">
        <v>0.12429999999999999</v>
      </c>
      <c r="E15">
        <v>29</v>
      </c>
      <c r="F15" t="s">
        <v>41</v>
      </c>
      <c r="G15">
        <v>6.8199999999999997E-2</v>
      </c>
      <c r="H15">
        <v>0.42</v>
      </c>
    </row>
    <row r="16" spans="1:8" x14ac:dyDescent="0.35">
      <c r="A16" t="s">
        <v>57</v>
      </c>
      <c r="B16" t="s">
        <v>48</v>
      </c>
      <c r="C16">
        <v>19100</v>
      </c>
      <c r="D16">
        <v>7.0800000000000002E-2</v>
      </c>
      <c r="E16">
        <v>18</v>
      </c>
      <c r="F16" t="s">
        <v>41</v>
      </c>
      <c r="G16">
        <v>3.7900000000000003E-2</v>
      </c>
      <c r="H16">
        <v>0.47</v>
      </c>
    </row>
    <row r="17" spans="1:8" x14ac:dyDescent="0.35">
      <c r="A17" t="s">
        <v>58</v>
      </c>
      <c r="B17" t="s">
        <v>40</v>
      </c>
      <c r="C17">
        <v>19200</v>
      </c>
      <c r="D17">
        <v>0.16020000000000001</v>
      </c>
      <c r="E17">
        <v>18</v>
      </c>
      <c r="F17" t="s">
        <v>41</v>
      </c>
      <c r="G17">
        <v>8.5699999999999998E-2</v>
      </c>
      <c r="H17">
        <v>0.56000000000000005</v>
      </c>
    </row>
    <row r="18" spans="1:8" x14ac:dyDescent="0.35">
      <c r="A18" t="s">
        <v>59</v>
      </c>
      <c r="B18" t="s">
        <v>40</v>
      </c>
      <c r="C18">
        <v>25200</v>
      </c>
      <c r="D18">
        <v>9.8500000000000004E-2</v>
      </c>
      <c r="E18">
        <v>32</v>
      </c>
      <c r="F18" t="s">
        <v>41</v>
      </c>
      <c r="G18">
        <v>4.7600000000000003E-2</v>
      </c>
      <c r="H18">
        <v>0.53</v>
      </c>
    </row>
    <row r="19" spans="1:8" x14ac:dyDescent="0.35">
      <c r="A19" t="s">
        <v>60</v>
      </c>
      <c r="B19" t="s">
        <v>48</v>
      </c>
      <c r="C19">
        <v>36200</v>
      </c>
      <c r="D19">
        <v>8.2400000000000001E-2</v>
      </c>
      <c r="E19">
        <v>19</v>
      </c>
      <c r="F19" t="s">
        <v>41</v>
      </c>
      <c r="G19">
        <v>4.7800000000000002E-2</v>
      </c>
      <c r="H19">
        <v>0.5</v>
      </c>
    </row>
    <row r="20" spans="1:8" x14ac:dyDescent="0.35">
      <c r="A20" t="s">
        <v>61</v>
      </c>
      <c r="B20" t="s">
        <v>40</v>
      </c>
      <c r="C20">
        <v>31600</v>
      </c>
      <c r="D20">
        <v>6.4899999999999999E-2</v>
      </c>
      <c r="E20">
        <v>33</v>
      </c>
      <c r="F20" t="s">
        <v>41</v>
      </c>
      <c r="G20">
        <v>2.2499999999999999E-2</v>
      </c>
      <c r="H20">
        <v>0.62</v>
      </c>
    </row>
    <row r="21" spans="1:8" x14ac:dyDescent="0.35">
      <c r="A21" t="s">
        <v>62</v>
      </c>
      <c r="B21" t="s">
        <v>40</v>
      </c>
      <c r="C21">
        <v>24600</v>
      </c>
      <c r="D21">
        <v>0.13089999999999999</v>
      </c>
      <c r="E21">
        <v>25</v>
      </c>
      <c r="F21" t="s">
        <v>41</v>
      </c>
      <c r="G21">
        <v>6.3899999999999998E-2</v>
      </c>
      <c r="H21">
        <v>0.61</v>
      </c>
    </row>
    <row r="22" spans="1:8" x14ac:dyDescent="0.35">
      <c r="A22" t="s">
        <v>63</v>
      </c>
      <c r="B22" t="s">
        <v>40</v>
      </c>
      <c r="C22">
        <v>40600</v>
      </c>
      <c r="D22">
        <v>0.14130000000000001</v>
      </c>
      <c r="E22">
        <v>30</v>
      </c>
      <c r="F22" t="s">
        <v>41</v>
      </c>
      <c r="G22">
        <v>6.2799999999999995E-2</v>
      </c>
      <c r="H22">
        <v>0.45</v>
      </c>
    </row>
    <row r="23" spans="1:8" x14ac:dyDescent="0.35">
      <c r="A23" t="s">
        <v>64</v>
      </c>
      <c r="B23" t="s">
        <v>40</v>
      </c>
      <c r="C23">
        <v>17000</v>
      </c>
      <c r="D23">
        <v>6.2E-2</v>
      </c>
      <c r="E23">
        <v>18</v>
      </c>
      <c r="F23" t="s">
        <v>41</v>
      </c>
      <c r="G23">
        <v>4.8500000000000001E-2</v>
      </c>
      <c r="H23">
        <v>0.66</v>
      </c>
    </row>
    <row r="24" spans="1:8" x14ac:dyDescent="0.35">
      <c r="A24" t="s">
        <v>65</v>
      </c>
      <c r="B24" t="s">
        <v>40</v>
      </c>
      <c r="C24">
        <v>24600</v>
      </c>
      <c r="D24">
        <v>0.1215</v>
      </c>
      <c r="E24">
        <v>33</v>
      </c>
      <c r="F24" t="s">
        <v>41</v>
      </c>
      <c r="G24">
        <v>9.1499999999999998E-2</v>
      </c>
      <c r="H24">
        <v>0.55000000000000004</v>
      </c>
    </row>
    <row r="25" spans="1:8" x14ac:dyDescent="0.35">
      <c r="A25" t="s">
        <v>66</v>
      </c>
      <c r="B25" t="s">
        <v>48</v>
      </c>
      <c r="C25">
        <v>28300</v>
      </c>
      <c r="D25">
        <v>8.72E-2</v>
      </c>
      <c r="E25">
        <v>24</v>
      </c>
      <c r="F25" t="s">
        <v>41</v>
      </c>
      <c r="G25">
        <v>3.0300000000000001E-2</v>
      </c>
      <c r="H25">
        <v>0.62</v>
      </c>
    </row>
    <row r="26" spans="1:8" x14ac:dyDescent="0.35">
      <c r="A26" t="s">
        <v>67</v>
      </c>
      <c r="B26" t="s">
        <v>48</v>
      </c>
      <c r="C26">
        <v>32800</v>
      </c>
      <c r="D26">
        <v>0.13739999999999999</v>
      </c>
      <c r="E26">
        <v>22</v>
      </c>
      <c r="F26" t="s">
        <v>41</v>
      </c>
      <c r="G26">
        <v>4.6399999999999997E-2</v>
      </c>
      <c r="H26">
        <v>0.56999999999999995</v>
      </c>
    </row>
    <row r="27" spans="1:8" x14ac:dyDescent="0.35">
      <c r="A27" t="s">
        <v>68</v>
      </c>
      <c r="B27" t="s">
        <v>48</v>
      </c>
      <c r="C27">
        <v>49300</v>
      </c>
      <c r="D27">
        <v>8.09E-2</v>
      </c>
      <c r="E27">
        <v>20</v>
      </c>
      <c r="F27" t="s">
        <v>41</v>
      </c>
      <c r="G27">
        <v>4.5699999999999998E-2</v>
      </c>
      <c r="H27">
        <v>0.7</v>
      </c>
    </row>
    <row r="28" spans="1:8" x14ac:dyDescent="0.35">
      <c r="A28" t="s">
        <v>69</v>
      </c>
      <c r="B28" t="s">
        <v>48</v>
      </c>
      <c r="C28">
        <v>20000</v>
      </c>
      <c r="D28">
        <v>0.1429</v>
      </c>
      <c r="E28">
        <v>29</v>
      </c>
      <c r="F28" t="s">
        <v>41</v>
      </c>
      <c r="G28">
        <v>2.7400000000000001E-2</v>
      </c>
      <c r="H28">
        <v>0.63</v>
      </c>
    </row>
    <row r="29" spans="1:8" x14ac:dyDescent="0.35">
      <c r="A29" t="s">
        <v>70</v>
      </c>
      <c r="B29" t="s">
        <v>48</v>
      </c>
      <c r="C29">
        <v>35700</v>
      </c>
      <c r="D29">
        <v>0.10639999999999999</v>
      </c>
      <c r="E29">
        <v>33</v>
      </c>
      <c r="F29" t="s">
        <v>41</v>
      </c>
      <c r="G29">
        <v>5.8500000000000003E-2</v>
      </c>
      <c r="H29">
        <v>0.61</v>
      </c>
    </row>
    <row r="30" spans="1:8" x14ac:dyDescent="0.35">
      <c r="A30" t="s">
        <v>71</v>
      </c>
      <c r="B30" t="s">
        <v>48</v>
      </c>
      <c r="C30">
        <v>39600</v>
      </c>
      <c r="D30">
        <v>0.1724</v>
      </c>
      <c r="E30">
        <v>36</v>
      </c>
      <c r="F30" t="s">
        <v>41</v>
      </c>
      <c r="G30">
        <v>7.4999999999999997E-2</v>
      </c>
      <c r="H30">
        <v>0.63</v>
      </c>
    </row>
    <row r="31" spans="1:8" x14ac:dyDescent="0.35">
      <c r="A31" t="s">
        <v>72</v>
      </c>
      <c r="B31" t="s">
        <v>40</v>
      </c>
      <c r="C31">
        <v>12300</v>
      </c>
      <c r="D31">
        <v>7.6499999999999999E-2</v>
      </c>
      <c r="E31">
        <v>22</v>
      </c>
      <c r="F31" t="s">
        <v>41</v>
      </c>
      <c r="G31">
        <v>6.0900000000000003E-2</v>
      </c>
      <c r="H31">
        <v>0.44</v>
      </c>
    </row>
    <row r="32" spans="1:8" x14ac:dyDescent="0.35">
      <c r="A32" t="s">
        <v>73</v>
      </c>
      <c r="B32" t="s">
        <v>40</v>
      </c>
      <c r="C32">
        <v>40400</v>
      </c>
      <c r="D32">
        <v>0.1009</v>
      </c>
      <c r="E32">
        <v>31</v>
      </c>
      <c r="F32" t="s">
        <v>41</v>
      </c>
      <c r="G32">
        <v>3.2599999999999997E-2</v>
      </c>
      <c r="H32">
        <v>0.46</v>
      </c>
    </row>
    <row r="33" spans="1:8" x14ac:dyDescent="0.35">
      <c r="A33" t="s">
        <v>74</v>
      </c>
      <c r="B33" t="s">
        <v>40</v>
      </c>
      <c r="C33">
        <v>18500</v>
      </c>
      <c r="D33">
        <v>7.3599999999999999E-2</v>
      </c>
      <c r="E33">
        <v>22</v>
      </c>
      <c r="F33" t="s">
        <v>41</v>
      </c>
      <c r="G33">
        <v>5.0200000000000002E-2</v>
      </c>
      <c r="H33">
        <v>0.61</v>
      </c>
    </row>
    <row r="34" spans="1:8" x14ac:dyDescent="0.35">
      <c r="A34" t="s">
        <v>75</v>
      </c>
      <c r="B34" t="s">
        <v>40</v>
      </c>
      <c r="C34">
        <v>13300</v>
      </c>
      <c r="D34">
        <v>0.17100000000000001</v>
      </c>
      <c r="E34">
        <v>32</v>
      </c>
      <c r="F34" t="s">
        <v>41</v>
      </c>
      <c r="G34">
        <v>2.0199999999999999E-2</v>
      </c>
      <c r="H34">
        <v>0.55000000000000004</v>
      </c>
    </row>
    <row r="35" spans="1:8" x14ac:dyDescent="0.35">
      <c r="A35" t="s">
        <v>76</v>
      </c>
      <c r="B35" t="s">
        <v>48</v>
      </c>
      <c r="C35">
        <v>57400</v>
      </c>
      <c r="D35">
        <v>0.1653</v>
      </c>
      <c r="E35">
        <v>34</v>
      </c>
      <c r="F35" t="s">
        <v>41</v>
      </c>
      <c r="G35">
        <v>8.9499999999999996E-2</v>
      </c>
      <c r="H35">
        <v>0.63</v>
      </c>
    </row>
    <row r="36" spans="1:8" x14ac:dyDescent="0.35">
      <c r="A36" t="s">
        <v>77</v>
      </c>
      <c r="B36" t="s">
        <v>40</v>
      </c>
      <c r="C36">
        <v>58300</v>
      </c>
      <c r="D36">
        <v>9.0999999999999998E-2</v>
      </c>
      <c r="E36">
        <v>31</v>
      </c>
      <c r="F36" t="s">
        <v>41</v>
      </c>
      <c r="G36">
        <v>2.6800000000000001E-2</v>
      </c>
      <c r="H36">
        <v>0.43</v>
      </c>
    </row>
    <row r="37" spans="1:8" x14ac:dyDescent="0.35">
      <c r="A37" t="s">
        <v>78</v>
      </c>
      <c r="B37" t="s">
        <v>48</v>
      </c>
      <c r="C37">
        <v>50400</v>
      </c>
      <c r="D37">
        <v>0.13919999999999999</v>
      </c>
      <c r="E37">
        <v>22</v>
      </c>
      <c r="F37" t="s">
        <v>41</v>
      </c>
      <c r="G37">
        <v>6.7799999999999999E-2</v>
      </c>
      <c r="H37">
        <v>0.56000000000000005</v>
      </c>
    </row>
    <row r="38" spans="1:8" x14ac:dyDescent="0.35">
      <c r="A38" t="s">
        <v>79</v>
      </c>
      <c r="B38" t="s">
        <v>45</v>
      </c>
      <c r="C38">
        <v>25200</v>
      </c>
      <c r="D38">
        <v>0.15809999999999999</v>
      </c>
      <c r="E38">
        <v>29</v>
      </c>
      <c r="F38" t="s">
        <v>41</v>
      </c>
      <c r="G38">
        <v>9.8900000000000002E-2</v>
      </c>
      <c r="H38">
        <v>0.51</v>
      </c>
    </row>
    <row r="39" spans="1:8" x14ac:dyDescent="0.35">
      <c r="A39" t="s">
        <v>80</v>
      </c>
      <c r="B39" t="s">
        <v>48</v>
      </c>
      <c r="C39">
        <v>14900</v>
      </c>
      <c r="D39">
        <v>0.12659999999999999</v>
      </c>
      <c r="E39">
        <v>33</v>
      </c>
      <c r="F39" t="s">
        <v>41</v>
      </c>
      <c r="G39">
        <v>6.2899999999999998E-2</v>
      </c>
      <c r="H39">
        <v>0.54</v>
      </c>
    </row>
    <row r="40" spans="1:8" x14ac:dyDescent="0.35">
      <c r="A40" t="s">
        <v>81</v>
      </c>
      <c r="B40" t="s">
        <v>40</v>
      </c>
      <c r="C40">
        <v>44200</v>
      </c>
      <c r="D40">
        <v>0.1236</v>
      </c>
      <c r="E40">
        <v>33</v>
      </c>
      <c r="F40" t="s">
        <v>41</v>
      </c>
      <c r="G40">
        <v>9.3899999999999997E-2</v>
      </c>
      <c r="H40">
        <v>0.57999999999999996</v>
      </c>
    </row>
    <row r="41" spans="1:8" x14ac:dyDescent="0.35">
      <c r="A41" t="s">
        <v>82</v>
      </c>
      <c r="B41" t="s">
        <v>40</v>
      </c>
      <c r="C41">
        <v>32000</v>
      </c>
      <c r="D41">
        <v>8.8999999999999996E-2</v>
      </c>
      <c r="E41">
        <v>24</v>
      </c>
      <c r="F41" t="s">
        <v>41</v>
      </c>
      <c r="G41">
        <v>3.8899999999999997E-2</v>
      </c>
      <c r="H41">
        <v>0.55000000000000004</v>
      </c>
    </row>
    <row r="42" spans="1:8" x14ac:dyDescent="0.35">
      <c r="A42" t="s">
        <v>83</v>
      </c>
      <c r="B42" t="s">
        <v>45</v>
      </c>
      <c r="C42">
        <v>16100</v>
      </c>
      <c r="D42">
        <v>7.1199999999999999E-2</v>
      </c>
      <c r="E42">
        <v>21</v>
      </c>
      <c r="F42" t="s">
        <v>41</v>
      </c>
      <c r="G42">
        <v>8.0799999999999997E-2</v>
      </c>
      <c r="H42">
        <v>0.56000000000000005</v>
      </c>
    </row>
    <row r="43" spans="1:8" x14ac:dyDescent="0.35">
      <c r="A43" t="s">
        <v>84</v>
      </c>
      <c r="B43" t="s">
        <v>45</v>
      </c>
      <c r="C43">
        <v>34800</v>
      </c>
      <c r="D43">
        <v>0.16769999999999999</v>
      </c>
      <c r="E43">
        <v>18</v>
      </c>
      <c r="F43" t="s">
        <v>41</v>
      </c>
      <c r="G43">
        <v>6.25E-2</v>
      </c>
      <c r="H43">
        <v>0.55000000000000004</v>
      </c>
    </row>
    <row r="44" spans="1:8" x14ac:dyDescent="0.35">
      <c r="A44" t="s">
        <v>85</v>
      </c>
      <c r="B44" t="s">
        <v>40</v>
      </c>
      <c r="C44">
        <v>11700</v>
      </c>
      <c r="D44">
        <v>0.1681</v>
      </c>
      <c r="E44">
        <v>22</v>
      </c>
      <c r="F44" t="s">
        <v>41</v>
      </c>
      <c r="G44">
        <v>7.7600000000000002E-2</v>
      </c>
      <c r="H44">
        <v>0.52</v>
      </c>
    </row>
    <row r="45" spans="1:8" x14ac:dyDescent="0.35">
      <c r="A45" t="s">
        <v>86</v>
      </c>
      <c r="B45" t="s">
        <v>48</v>
      </c>
      <c r="C45">
        <v>55500</v>
      </c>
      <c r="D45">
        <v>0.13600000000000001</v>
      </c>
      <c r="E45">
        <v>27</v>
      </c>
      <c r="F45" t="s">
        <v>41</v>
      </c>
      <c r="G45">
        <v>2.5000000000000001E-2</v>
      </c>
      <c r="H45">
        <v>0.63</v>
      </c>
    </row>
    <row r="46" spans="1:8" x14ac:dyDescent="0.35">
      <c r="A46" t="s">
        <v>87</v>
      </c>
      <c r="B46" t="s">
        <v>40</v>
      </c>
      <c r="C46">
        <v>22900</v>
      </c>
      <c r="D46">
        <v>0.1007</v>
      </c>
      <c r="E46">
        <v>22</v>
      </c>
      <c r="F46" t="s">
        <v>41</v>
      </c>
      <c r="G46">
        <v>3.1800000000000002E-2</v>
      </c>
      <c r="H46">
        <v>0.4</v>
      </c>
    </row>
    <row r="47" spans="1:8" x14ac:dyDescent="0.35">
      <c r="A47" t="s">
        <v>88</v>
      </c>
      <c r="B47" t="s">
        <v>40</v>
      </c>
      <c r="C47">
        <v>43100</v>
      </c>
      <c r="D47">
        <v>0.1019</v>
      </c>
      <c r="E47">
        <v>21</v>
      </c>
      <c r="F47" t="s">
        <v>41</v>
      </c>
      <c r="G47">
        <v>3.0599999999999999E-2</v>
      </c>
      <c r="H47">
        <v>0.57999999999999996</v>
      </c>
    </row>
    <row r="48" spans="1:8" x14ac:dyDescent="0.35">
      <c r="A48" t="s">
        <v>89</v>
      </c>
      <c r="B48" t="s">
        <v>40</v>
      </c>
      <c r="C48">
        <v>25600</v>
      </c>
      <c r="D48">
        <v>0.14710000000000001</v>
      </c>
      <c r="E48">
        <v>19</v>
      </c>
      <c r="F48" t="s">
        <v>41</v>
      </c>
      <c r="G48">
        <v>7.4999999999999997E-2</v>
      </c>
      <c r="H48">
        <v>0.56999999999999995</v>
      </c>
    </row>
    <row r="49" spans="1:8" x14ac:dyDescent="0.35">
      <c r="A49" t="s">
        <v>90</v>
      </c>
      <c r="B49" t="s">
        <v>40</v>
      </c>
      <c r="C49">
        <v>36000</v>
      </c>
      <c r="D49">
        <v>0.16769999999999999</v>
      </c>
      <c r="E49">
        <v>27</v>
      </c>
      <c r="F49" t="s">
        <v>41</v>
      </c>
      <c r="G49">
        <v>8.7599999999999997E-2</v>
      </c>
      <c r="H49">
        <v>0.61</v>
      </c>
    </row>
    <row r="50" spans="1:8" x14ac:dyDescent="0.35">
      <c r="A50" t="s">
        <v>91</v>
      </c>
      <c r="B50" t="s">
        <v>45</v>
      </c>
      <c r="C50">
        <v>37300</v>
      </c>
      <c r="D50">
        <v>0.16650000000000001</v>
      </c>
      <c r="E50">
        <v>36</v>
      </c>
      <c r="F50" t="s">
        <v>41</v>
      </c>
      <c r="G50">
        <v>0.08</v>
      </c>
      <c r="H50">
        <v>0.57999999999999996</v>
      </c>
    </row>
    <row r="51" spans="1:8" x14ac:dyDescent="0.35">
      <c r="A51" t="s">
        <v>92</v>
      </c>
      <c r="B51" t="s">
        <v>48</v>
      </c>
      <c r="C51">
        <v>19200</v>
      </c>
      <c r="D51">
        <v>0.15359999999999999</v>
      </c>
      <c r="E51">
        <v>18</v>
      </c>
      <c r="F51" t="s">
        <v>41</v>
      </c>
      <c r="G51">
        <v>2.24E-2</v>
      </c>
      <c r="H51">
        <v>0.65</v>
      </c>
    </row>
    <row r="52" spans="1:8" x14ac:dyDescent="0.35">
      <c r="A52" t="s">
        <v>93</v>
      </c>
      <c r="B52" t="s">
        <v>40</v>
      </c>
      <c r="C52">
        <v>58500</v>
      </c>
      <c r="D52">
        <v>0.13700000000000001</v>
      </c>
      <c r="E52">
        <v>22</v>
      </c>
      <c r="F52" t="s">
        <v>41</v>
      </c>
      <c r="G52">
        <v>8.9399999999999993E-2</v>
      </c>
      <c r="H52">
        <v>0.69</v>
      </c>
    </row>
    <row r="53" spans="1:8" x14ac:dyDescent="0.35">
      <c r="A53" t="s">
        <v>94</v>
      </c>
      <c r="B53" t="s">
        <v>48</v>
      </c>
      <c r="C53">
        <v>48800</v>
      </c>
      <c r="D53">
        <v>7.0099999999999996E-2</v>
      </c>
      <c r="E53">
        <v>30</v>
      </c>
      <c r="F53" t="s">
        <v>41</v>
      </c>
      <c r="G53">
        <v>4.8300000000000003E-2</v>
      </c>
      <c r="H53">
        <v>0.5</v>
      </c>
    </row>
    <row r="54" spans="1:8" x14ac:dyDescent="0.35">
      <c r="A54" t="s">
        <v>95</v>
      </c>
      <c r="B54" t="s">
        <v>45</v>
      </c>
      <c r="C54">
        <v>57000</v>
      </c>
      <c r="D54">
        <v>7.9399999999999998E-2</v>
      </c>
      <c r="E54">
        <v>21</v>
      </c>
      <c r="F54" t="s">
        <v>41</v>
      </c>
      <c r="G54">
        <v>5.1799999999999999E-2</v>
      </c>
      <c r="H54">
        <v>0.47</v>
      </c>
    </row>
    <row r="55" spans="1:8" x14ac:dyDescent="0.35">
      <c r="A55" t="s">
        <v>96</v>
      </c>
      <c r="B55" t="s">
        <v>45</v>
      </c>
      <c r="C55">
        <v>54700</v>
      </c>
      <c r="D55">
        <v>0.1678</v>
      </c>
      <c r="E55">
        <v>33</v>
      </c>
      <c r="F55" t="s">
        <v>41</v>
      </c>
      <c r="G55">
        <v>2.8400000000000002E-2</v>
      </c>
      <c r="H55">
        <v>0.53</v>
      </c>
    </row>
    <row r="56" spans="1:8" x14ac:dyDescent="0.35">
      <c r="A56" t="s">
        <v>97</v>
      </c>
      <c r="B56" t="s">
        <v>40</v>
      </c>
      <c r="C56">
        <v>39900</v>
      </c>
      <c r="D56">
        <v>0.1328</v>
      </c>
      <c r="E56">
        <v>33</v>
      </c>
      <c r="F56" t="s">
        <v>41</v>
      </c>
      <c r="G56">
        <v>7.9000000000000001E-2</v>
      </c>
      <c r="H56">
        <v>0.49</v>
      </c>
    </row>
    <row r="57" spans="1:8" x14ac:dyDescent="0.35">
      <c r="A57" t="s">
        <v>98</v>
      </c>
      <c r="B57" t="s">
        <v>40</v>
      </c>
      <c r="C57">
        <v>56100</v>
      </c>
      <c r="D57">
        <v>6.1100000000000002E-2</v>
      </c>
      <c r="E57">
        <v>19</v>
      </c>
      <c r="F57" t="s">
        <v>41</v>
      </c>
      <c r="G57">
        <v>3.4599999999999999E-2</v>
      </c>
      <c r="H57">
        <v>0.57999999999999996</v>
      </c>
    </row>
    <row r="58" spans="1:8" x14ac:dyDescent="0.35">
      <c r="A58" t="s">
        <v>99</v>
      </c>
      <c r="B58" t="s">
        <v>40</v>
      </c>
      <c r="C58">
        <v>14400</v>
      </c>
      <c r="D58">
        <v>7.22E-2</v>
      </c>
      <c r="E58">
        <v>34</v>
      </c>
      <c r="F58" t="s">
        <v>41</v>
      </c>
      <c r="G58">
        <v>6.5100000000000005E-2</v>
      </c>
      <c r="H58">
        <v>0.67</v>
      </c>
    </row>
    <row r="59" spans="1:8" x14ac:dyDescent="0.35">
      <c r="A59" t="s">
        <v>100</v>
      </c>
      <c r="B59" t="s">
        <v>40</v>
      </c>
      <c r="C59">
        <v>19800</v>
      </c>
      <c r="D59">
        <v>0.1396</v>
      </c>
      <c r="E59">
        <v>29</v>
      </c>
      <c r="F59" t="s">
        <v>41</v>
      </c>
      <c r="G59">
        <v>8.7300000000000003E-2</v>
      </c>
      <c r="H59">
        <v>0.44</v>
      </c>
    </row>
    <row r="60" spans="1:8" x14ac:dyDescent="0.35">
      <c r="A60" t="s">
        <v>101</v>
      </c>
      <c r="B60" t="s">
        <v>40</v>
      </c>
      <c r="C60">
        <v>12300</v>
      </c>
      <c r="D60">
        <v>6.0600000000000001E-2</v>
      </c>
      <c r="E60">
        <v>35</v>
      </c>
      <c r="F60" t="s">
        <v>41</v>
      </c>
      <c r="G60">
        <v>2.7099999999999999E-2</v>
      </c>
      <c r="H60">
        <v>0.43</v>
      </c>
    </row>
    <row r="61" spans="1:8" x14ac:dyDescent="0.35">
      <c r="A61" t="s">
        <v>102</v>
      </c>
      <c r="B61" t="s">
        <v>48</v>
      </c>
      <c r="C61">
        <v>26300</v>
      </c>
      <c r="D61">
        <v>7.9299999999999995E-2</v>
      </c>
      <c r="E61">
        <v>20</v>
      </c>
      <c r="F61" t="s">
        <v>41</v>
      </c>
      <c r="G61">
        <v>6.2799999999999995E-2</v>
      </c>
      <c r="H61">
        <v>0.48</v>
      </c>
    </row>
    <row r="62" spans="1:8" x14ac:dyDescent="0.35">
      <c r="A62" t="s">
        <v>103</v>
      </c>
      <c r="B62" t="s">
        <v>40</v>
      </c>
      <c r="C62">
        <v>29400</v>
      </c>
      <c r="D62">
        <v>0.1258</v>
      </c>
      <c r="E62">
        <v>18</v>
      </c>
      <c r="F62" t="s">
        <v>41</v>
      </c>
      <c r="G62">
        <v>3.8699999999999998E-2</v>
      </c>
      <c r="H62">
        <v>0.62</v>
      </c>
    </row>
    <row r="63" spans="1:8" x14ac:dyDescent="0.35">
      <c r="A63" t="s">
        <v>104</v>
      </c>
      <c r="B63" t="s">
        <v>40</v>
      </c>
      <c r="C63">
        <v>23600</v>
      </c>
      <c r="D63">
        <v>0.14299999999999999</v>
      </c>
      <c r="E63">
        <v>18</v>
      </c>
      <c r="F63" t="s">
        <v>41</v>
      </c>
      <c r="G63">
        <v>4.7399999999999998E-2</v>
      </c>
      <c r="H63">
        <v>0.57999999999999996</v>
      </c>
    </row>
    <row r="64" spans="1:8" x14ac:dyDescent="0.35">
      <c r="A64" t="s">
        <v>105</v>
      </c>
      <c r="B64" t="s">
        <v>40</v>
      </c>
      <c r="C64">
        <v>51400</v>
      </c>
      <c r="D64">
        <v>0.13819999999999999</v>
      </c>
      <c r="E64">
        <v>36</v>
      </c>
      <c r="F64" t="s">
        <v>41</v>
      </c>
      <c r="G64">
        <v>5.79E-2</v>
      </c>
      <c r="H64">
        <v>0.43</v>
      </c>
    </row>
    <row r="65" spans="1:8" x14ac:dyDescent="0.35">
      <c r="A65" t="s">
        <v>106</v>
      </c>
      <c r="B65" t="s">
        <v>40</v>
      </c>
      <c r="C65">
        <v>27800</v>
      </c>
      <c r="D65">
        <v>8.6900000000000005E-2</v>
      </c>
      <c r="E65">
        <v>28</v>
      </c>
      <c r="F65" t="s">
        <v>41</v>
      </c>
      <c r="G65">
        <v>4.8399999999999999E-2</v>
      </c>
      <c r="H65">
        <v>0.68</v>
      </c>
    </row>
    <row r="66" spans="1:8" x14ac:dyDescent="0.35">
      <c r="A66" t="s">
        <v>107</v>
      </c>
      <c r="B66" t="s">
        <v>40</v>
      </c>
      <c r="C66">
        <v>24000</v>
      </c>
      <c r="D66">
        <v>0.14549999999999999</v>
      </c>
      <c r="E66">
        <v>22</v>
      </c>
      <c r="F66" t="s">
        <v>41</v>
      </c>
      <c r="G66">
        <v>7.1900000000000006E-2</v>
      </c>
      <c r="H66">
        <v>0.64</v>
      </c>
    </row>
    <row r="67" spans="1:8" x14ac:dyDescent="0.35">
      <c r="A67" t="s">
        <v>108</v>
      </c>
      <c r="B67" t="s">
        <v>40</v>
      </c>
      <c r="C67">
        <v>37100</v>
      </c>
      <c r="D67">
        <v>8.8499999999999995E-2</v>
      </c>
      <c r="E67">
        <v>29</v>
      </c>
      <c r="F67" t="s">
        <v>41</v>
      </c>
      <c r="G67">
        <v>5.8400000000000001E-2</v>
      </c>
      <c r="H67">
        <v>0.41</v>
      </c>
    </row>
    <row r="68" spans="1:8" x14ac:dyDescent="0.35">
      <c r="A68" t="s">
        <v>109</v>
      </c>
      <c r="B68" t="s">
        <v>40</v>
      </c>
      <c r="C68">
        <v>17000</v>
      </c>
      <c r="D68">
        <v>9.9000000000000005E-2</v>
      </c>
      <c r="E68">
        <v>20</v>
      </c>
      <c r="F68" t="s">
        <v>41</v>
      </c>
      <c r="G68">
        <v>6.6699999999999995E-2</v>
      </c>
      <c r="H68">
        <v>0.6</v>
      </c>
    </row>
    <row r="69" spans="1:8" x14ac:dyDescent="0.35">
      <c r="A69" t="s">
        <v>110</v>
      </c>
      <c r="B69" t="s">
        <v>40</v>
      </c>
      <c r="C69">
        <v>50100</v>
      </c>
      <c r="D69">
        <v>0.14960000000000001</v>
      </c>
      <c r="E69">
        <v>18</v>
      </c>
      <c r="F69" t="s">
        <v>41</v>
      </c>
      <c r="G69">
        <v>7.8899999999999998E-2</v>
      </c>
      <c r="H69">
        <v>0.63</v>
      </c>
    </row>
    <row r="70" spans="1:8" x14ac:dyDescent="0.35">
      <c r="A70" t="s">
        <v>111</v>
      </c>
      <c r="B70" t="s">
        <v>40</v>
      </c>
      <c r="C70">
        <v>13700</v>
      </c>
      <c r="D70">
        <v>0.13800000000000001</v>
      </c>
      <c r="E70">
        <v>18</v>
      </c>
      <c r="F70" t="s">
        <v>41</v>
      </c>
      <c r="G70">
        <v>6.4600000000000005E-2</v>
      </c>
      <c r="H70">
        <v>0.51</v>
      </c>
    </row>
    <row r="71" spans="1:8" x14ac:dyDescent="0.35">
      <c r="A71" t="s">
        <v>112</v>
      </c>
      <c r="B71" t="s">
        <v>48</v>
      </c>
      <c r="C71">
        <v>59300</v>
      </c>
      <c r="D71">
        <v>0.16189999999999999</v>
      </c>
      <c r="E71">
        <v>25</v>
      </c>
      <c r="F71" t="s">
        <v>41</v>
      </c>
      <c r="G71">
        <v>6.6900000000000001E-2</v>
      </c>
      <c r="H71">
        <v>0.42</v>
      </c>
    </row>
    <row r="72" spans="1:8" x14ac:dyDescent="0.35">
      <c r="A72" t="s">
        <v>113</v>
      </c>
      <c r="B72" t="s">
        <v>40</v>
      </c>
      <c r="C72">
        <v>48600</v>
      </c>
      <c r="D72">
        <v>0.1389</v>
      </c>
      <c r="E72">
        <v>27</v>
      </c>
      <c r="F72" t="s">
        <v>41</v>
      </c>
      <c r="G72">
        <v>6.5199999999999994E-2</v>
      </c>
      <c r="H72">
        <v>0.42</v>
      </c>
    </row>
    <row r="73" spans="1:8" x14ac:dyDescent="0.35">
      <c r="A73" t="s">
        <v>114</v>
      </c>
      <c r="B73" t="s">
        <v>40</v>
      </c>
      <c r="C73">
        <v>19900</v>
      </c>
      <c r="D73">
        <v>0.12820000000000001</v>
      </c>
      <c r="E73">
        <v>28</v>
      </c>
      <c r="F73" t="s">
        <v>41</v>
      </c>
      <c r="G73">
        <v>5.0299999999999997E-2</v>
      </c>
      <c r="H73">
        <v>0.43</v>
      </c>
    </row>
    <row r="74" spans="1:8" x14ac:dyDescent="0.35">
      <c r="A74" t="s">
        <v>115</v>
      </c>
      <c r="B74" t="s">
        <v>40</v>
      </c>
      <c r="C74">
        <v>10300</v>
      </c>
      <c r="D74">
        <v>7.1199999999999999E-2</v>
      </c>
      <c r="E74">
        <v>29</v>
      </c>
      <c r="F74" t="s">
        <v>41</v>
      </c>
      <c r="G74">
        <v>4.7E-2</v>
      </c>
      <c r="H74">
        <v>0.65</v>
      </c>
    </row>
    <row r="75" spans="1:8" x14ac:dyDescent="0.35">
      <c r="A75" t="s">
        <v>116</v>
      </c>
      <c r="B75" t="s">
        <v>45</v>
      </c>
      <c r="C75">
        <v>50800</v>
      </c>
      <c r="D75">
        <v>0.1041</v>
      </c>
      <c r="E75">
        <v>30</v>
      </c>
      <c r="F75" t="s">
        <v>41</v>
      </c>
      <c r="G75">
        <v>9.1999999999999998E-2</v>
      </c>
      <c r="H75">
        <v>0.67</v>
      </c>
    </row>
    <row r="76" spans="1:8" x14ac:dyDescent="0.35">
      <c r="A76" t="s">
        <v>117</v>
      </c>
      <c r="B76" t="s">
        <v>40</v>
      </c>
      <c r="C76">
        <v>45300</v>
      </c>
      <c r="D76">
        <v>9.1800000000000007E-2</v>
      </c>
      <c r="E76">
        <v>29</v>
      </c>
      <c r="F76" t="s">
        <v>41</v>
      </c>
      <c r="G76">
        <v>6.8599999999999994E-2</v>
      </c>
      <c r="H76">
        <v>0.44</v>
      </c>
    </row>
    <row r="77" spans="1:8" x14ac:dyDescent="0.35">
      <c r="A77" t="s">
        <v>118</v>
      </c>
      <c r="B77" t="s">
        <v>48</v>
      </c>
      <c r="C77">
        <v>46500</v>
      </c>
      <c r="D77">
        <v>8.9300000000000004E-2</v>
      </c>
      <c r="E77">
        <v>31</v>
      </c>
      <c r="F77" t="s">
        <v>41</v>
      </c>
      <c r="G77">
        <v>3.95E-2</v>
      </c>
      <c r="H77">
        <v>0.47</v>
      </c>
    </row>
    <row r="78" spans="1:8" x14ac:dyDescent="0.35">
      <c r="A78" t="s">
        <v>119</v>
      </c>
      <c r="B78" t="s">
        <v>45</v>
      </c>
      <c r="C78">
        <v>48600</v>
      </c>
      <c r="D78">
        <v>0.17680000000000001</v>
      </c>
      <c r="E78">
        <v>19</v>
      </c>
      <c r="F78" t="s">
        <v>41</v>
      </c>
      <c r="G78">
        <v>5.9900000000000002E-2</v>
      </c>
      <c r="H78">
        <v>0.45</v>
      </c>
    </row>
    <row r="79" spans="1:8" x14ac:dyDescent="0.35">
      <c r="A79" t="s">
        <v>120</v>
      </c>
      <c r="B79" t="s">
        <v>40</v>
      </c>
      <c r="C79">
        <v>13700</v>
      </c>
      <c r="D79">
        <v>0.1072</v>
      </c>
      <c r="E79">
        <v>36</v>
      </c>
      <c r="F79" t="s">
        <v>41</v>
      </c>
      <c r="G79">
        <v>4.6399999999999997E-2</v>
      </c>
      <c r="H79">
        <v>0.46</v>
      </c>
    </row>
    <row r="80" spans="1:8" x14ac:dyDescent="0.35">
      <c r="A80" t="s">
        <v>121</v>
      </c>
      <c r="B80" t="s">
        <v>45</v>
      </c>
      <c r="C80">
        <v>27900</v>
      </c>
      <c r="D80">
        <v>0.16700000000000001</v>
      </c>
      <c r="E80">
        <v>35</v>
      </c>
      <c r="F80" t="s">
        <v>41</v>
      </c>
      <c r="G80">
        <v>9.4700000000000006E-2</v>
      </c>
      <c r="H80">
        <v>0.65</v>
      </c>
    </row>
    <row r="81" spans="1:8" x14ac:dyDescent="0.35">
      <c r="A81" t="s">
        <v>122</v>
      </c>
      <c r="B81" t="s">
        <v>48</v>
      </c>
      <c r="C81">
        <v>15800</v>
      </c>
      <c r="D81">
        <v>0.13569999999999999</v>
      </c>
      <c r="E81">
        <v>20</v>
      </c>
      <c r="F81" t="s">
        <v>41</v>
      </c>
      <c r="G81">
        <v>2.06E-2</v>
      </c>
      <c r="H81">
        <v>0.5</v>
      </c>
    </row>
    <row r="82" spans="1:8" x14ac:dyDescent="0.35">
      <c r="A82" t="s">
        <v>123</v>
      </c>
      <c r="B82" t="s">
        <v>40</v>
      </c>
      <c r="C82">
        <v>53200</v>
      </c>
      <c r="D82">
        <v>0.15540000000000001</v>
      </c>
      <c r="E82">
        <v>34</v>
      </c>
      <c r="F82" t="s">
        <v>41</v>
      </c>
      <c r="G82">
        <v>3.7999999999999999E-2</v>
      </c>
      <c r="H82">
        <v>0.49</v>
      </c>
    </row>
    <row r="83" spans="1:8" x14ac:dyDescent="0.35">
      <c r="A83" t="s">
        <v>124</v>
      </c>
      <c r="B83" t="s">
        <v>40</v>
      </c>
      <c r="C83">
        <v>41200</v>
      </c>
      <c r="D83">
        <v>0.1203</v>
      </c>
      <c r="E83">
        <v>25</v>
      </c>
      <c r="F83" t="s">
        <v>41</v>
      </c>
      <c r="G83">
        <v>4.9200000000000001E-2</v>
      </c>
      <c r="H83">
        <v>0.47</v>
      </c>
    </row>
    <row r="84" spans="1:8" x14ac:dyDescent="0.35">
      <c r="A84" t="s">
        <v>125</v>
      </c>
      <c r="B84" t="s">
        <v>48</v>
      </c>
      <c r="C84">
        <v>26500</v>
      </c>
      <c r="D84">
        <v>0.12920000000000001</v>
      </c>
      <c r="E84">
        <v>27</v>
      </c>
      <c r="F84" t="s">
        <v>41</v>
      </c>
      <c r="G84">
        <v>5.8999999999999997E-2</v>
      </c>
      <c r="H84">
        <v>0.57999999999999996</v>
      </c>
    </row>
    <row r="85" spans="1:8" x14ac:dyDescent="0.35">
      <c r="A85" t="s">
        <v>126</v>
      </c>
      <c r="B85" t="s">
        <v>40</v>
      </c>
      <c r="C85">
        <v>13200</v>
      </c>
      <c r="D85">
        <v>0.1191</v>
      </c>
      <c r="E85">
        <v>19</v>
      </c>
      <c r="F85" t="s">
        <v>41</v>
      </c>
      <c r="G85">
        <v>8.8099999999999998E-2</v>
      </c>
      <c r="H85">
        <v>0.51</v>
      </c>
    </row>
    <row r="86" spans="1:8" x14ac:dyDescent="0.35">
      <c r="A86" t="s">
        <v>127</v>
      </c>
      <c r="B86" t="s">
        <v>45</v>
      </c>
      <c r="C86">
        <v>25500</v>
      </c>
      <c r="D86">
        <v>8.3400000000000002E-2</v>
      </c>
      <c r="E86">
        <v>36</v>
      </c>
      <c r="F86" t="s">
        <v>41</v>
      </c>
      <c r="G86">
        <v>2.7E-2</v>
      </c>
      <c r="H86">
        <v>0.62</v>
      </c>
    </row>
    <row r="87" spans="1:8" x14ac:dyDescent="0.35">
      <c r="A87" t="s">
        <v>128</v>
      </c>
      <c r="B87" t="s">
        <v>40</v>
      </c>
      <c r="C87">
        <v>26300</v>
      </c>
      <c r="D87">
        <v>0.1467</v>
      </c>
      <c r="E87">
        <v>26</v>
      </c>
      <c r="F87" t="s">
        <v>41</v>
      </c>
      <c r="G87">
        <v>8.4500000000000006E-2</v>
      </c>
      <c r="H87">
        <v>0.46</v>
      </c>
    </row>
    <row r="88" spans="1:8" x14ac:dyDescent="0.35">
      <c r="A88" t="s">
        <v>129</v>
      </c>
      <c r="B88" t="s">
        <v>48</v>
      </c>
      <c r="C88">
        <v>46500</v>
      </c>
      <c r="D88">
        <v>9.3700000000000006E-2</v>
      </c>
      <c r="E88">
        <v>24</v>
      </c>
      <c r="F88" t="s">
        <v>41</v>
      </c>
      <c r="G88">
        <v>2.4500000000000001E-2</v>
      </c>
      <c r="H88">
        <v>0.64</v>
      </c>
    </row>
    <row r="89" spans="1:8" x14ac:dyDescent="0.35">
      <c r="A89" t="s">
        <v>130</v>
      </c>
      <c r="B89" t="s">
        <v>40</v>
      </c>
      <c r="C89">
        <v>41900</v>
      </c>
      <c r="D89">
        <v>6.2899999999999998E-2</v>
      </c>
      <c r="E89">
        <v>21</v>
      </c>
      <c r="F89" t="s">
        <v>41</v>
      </c>
      <c r="G89">
        <v>8.7400000000000005E-2</v>
      </c>
      <c r="H89">
        <v>0.57999999999999996</v>
      </c>
    </row>
    <row r="90" spans="1:8" x14ac:dyDescent="0.35">
      <c r="A90" t="s">
        <v>131</v>
      </c>
      <c r="B90" t="s">
        <v>48</v>
      </c>
      <c r="C90">
        <v>54400</v>
      </c>
      <c r="D90">
        <v>0.13750000000000001</v>
      </c>
      <c r="E90">
        <v>35</v>
      </c>
      <c r="F90" t="s">
        <v>41</v>
      </c>
      <c r="G90">
        <v>2.41E-2</v>
      </c>
      <c r="H90">
        <v>0.43</v>
      </c>
    </row>
    <row r="91" spans="1:8" x14ac:dyDescent="0.35">
      <c r="A91" t="s">
        <v>132</v>
      </c>
      <c r="B91" t="s">
        <v>48</v>
      </c>
      <c r="C91">
        <v>33600</v>
      </c>
      <c r="D91">
        <v>8.1299999999999997E-2</v>
      </c>
      <c r="E91">
        <v>30</v>
      </c>
      <c r="F91" t="s">
        <v>41</v>
      </c>
      <c r="G91">
        <v>2.1499999999999998E-2</v>
      </c>
      <c r="H91">
        <v>0.52</v>
      </c>
    </row>
    <row r="92" spans="1:8" x14ac:dyDescent="0.35">
      <c r="A92" t="s">
        <v>133</v>
      </c>
      <c r="B92" t="s">
        <v>40</v>
      </c>
      <c r="C92">
        <v>16000</v>
      </c>
      <c r="D92">
        <v>0.1729</v>
      </c>
      <c r="E92">
        <v>28</v>
      </c>
      <c r="F92" t="s">
        <v>41</v>
      </c>
      <c r="G92">
        <v>7.5800000000000006E-2</v>
      </c>
      <c r="H92">
        <v>0.66</v>
      </c>
    </row>
    <row r="93" spans="1:8" x14ac:dyDescent="0.35">
      <c r="A93" t="s">
        <v>134</v>
      </c>
      <c r="B93" t="s">
        <v>40</v>
      </c>
      <c r="C93">
        <v>45700</v>
      </c>
      <c r="D93">
        <v>0.17449999999999999</v>
      </c>
      <c r="E93">
        <v>21</v>
      </c>
      <c r="F93" t="s">
        <v>41</v>
      </c>
      <c r="G93">
        <v>9.98E-2</v>
      </c>
      <c r="H93">
        <v>0.68</v>
      </c>
    </row>
    <row r="94" spans="1:8" x14ac:dyDescent="0.35">
      <c r="A94" t="s">
        <v>135</v>
      </c>
      <c r="B94" t="s">
        <v>40</v>
      </c>
      <c r="C94">
        <v>48000</v>
      </c>
      <c r="D94">
        <v>0.16980000000000001</v>
      </c>
      <c r="E94">
        <v>21</v>
      </c>
      <c r="F94" t="s">
        <v>41</v>
      </c>
      <c r="G94">
        <v>9.1700000000000004E-2</v>
      </c>
      <c r="H94">
        <v>0.54</v>
      </c>
    </row>
    <row r="95" spans="1:8" x14ac:dyDescent="0.35">
      <c r="A95" t="s">
        <v>136</v>
      </c>
      <c r="B95" t="s">
        <v>40</v>
      </c>
      <c r="C95">
        <v>38100</v>
      </c>
      <c r="D95">
        <v>0.10440000000000001</v>
      </c>
      <c r="E95">
        <v>27</v>
      </c>
      <c r="F95" t="s">
        <v>41</v>
      </c>
      <c r="G95">
        <v>6.6100000000000006E-2</v>
      </c>
      <c r="H95">
        <v>0.54</v>
      </c>
    </row>
    <row r="96" spans="1:8" x14ac:dyDescent="0.35">
      <c r="A96" t="s">
        <v>137</v>
      </c>
      <c r="B96" t="s">
        <v>40</v>
      </c>
      <c r="C96">
        <v>48500</v>
      </c>
      <c r="D96">
        <v>6.1899999999999997E-2</v>
      </c>
      <c r="E96">
        <v>22</v>
      </c>
      <c r="F96" t="s">
        <v>41</v>
      </c>
      <c r="G96">
        <v>9.3399999999999997E-2</v>
      </c>
      <c r="H96">
        <v>0.68</v>
      </c>
    </row>
    <row r="97" spans="1:8" x14ac:dyDescent="0.35">
      <c r="A97" t="s">
        <v>138</v>
      </c>
      <c r="B97" t="s">
        <v>48</v>
      </c>
      <c r="C97">
        <v>34700</v>
      </c>
      <c r="D97">
        <v>0.1714</v>
      </c>
      <c r="E97">
        <v>26</v>
      </c>
      <c r="F97" t="s">
        <v>41</v>
      </c>
      <c r="G97">
        <v>2.0400000000000001E-2</v>
      </c>
      <c r="H97">
        <v>0.57999999999999996</v>
      </c>
    </row>
    <row r="98" spans="1:8" x14ac:dyDescent="0.35">
      <c r="A98" t="s">
        <v>139</v>
      </c>
      <c r="B98" t="s">
        <v>48</v>
      </c>
      <c r="C98">
        <v>36100</v>
      </c>
      <c r="D98">
        <v>0.1114</v>
      </c>
      <c r="E98">
        <v>20</v>
      </c>
      <c r="F98" t="s">
        <v>41</v>
      </c>
      <c r="G98">
        <v>9.8000000000000004E-2</v>
      </c>
      <c r="H98">
        <v>0.41</v>
      </c>
    </row>
    <row r="99" spans="1:8" x14ac:dyDescent="0.35">
      <c r="A99" t="s">
        <v>140</v>
      </c>
      <c r="B99" t="s">
        <v>48</v>
      </c>
      <c r="C99">
        <v>31400</v>
      </c>
      <c r="D99">
        <v>0.17599999999999999</v>
      </c>
      <c r="E99">
        <v>34</v>
      </c>
      <c r="F99" t="s">
        <v>41</v>
      </c>
      <c r="G99">
        <v>5.9299999999999999E-2</v>
      </c>
      <c r="H99">
        <v>0.67</v>
      </c>
    </row>
    <row r="100" spans="1:8" x14ac:dyDescent="0.35">
      <c r="A100" t="s">
        <v>141</v>
      </c>
      <c r="B100" t="s">
        <v>45</v>
      </c>
      <c r="C100">
        <v>11300</v>
      </c>
      <c r="D100">
        <v>0.17560000000000001</v>
      </c>
      <c r="E100">
        <v>20</v>
      </c>
      <c r="F100" t="s">
        <v>41</v>
      </c>
      <c r="G100">
        <v>7.7799999999999994E-2</v>
      </c>
      <c r="H100">
        <v>0.47</v>
      </c>
    </row>
    <row r="101" spans="1:8" x14ac:dyDescent="0.35">
      <c r="A101" t="s">
        <v>142</v>
      </c>
      <c r="B101" t="s">
        <v>48</v>
      </c>
      <c r="C101">
        <v>15400</v>
      </c>
      <c r="D101">
        <v>0.16239999999999999</v>
      </c>
      <c r="E101">
        <v>33</v>
      </c>
      <c r="F101" t="s">
        <v>41</v>
      </c>
      <c r="G101">
        <v>8.5699999999999998E-2</v>
      </c>
      <c r="H101">
        <v>0.56999999999999995</v>
      </c>
    </row>
    <row r="102" spans="1:8" x14ac:dyDescent="0.35">
      <c r="A102" t="s">
        <v>143</v>
      </c>
      <c r="B102" t="s">
        <v>48</v>
      </c>
      <c r="C102">
        <v>11600</v>
      </c>
      <c r="D102">
        <v>9.5299999999999996E-2</v>
      </c>
      <c r="E102">
        <v>21</v>
      </c>
      <c r="F102" t="s">
        <v>41</v>
      </c>
      <c r="G102">
        <v>7.7499999999999999E-2</v>
      </c>
      <c r="H102">
        <v>0.45</v>
      </c>
    </row>
    <row r="103" spans="1:8" x14ac:dyDescent="0.35">
      <c r="A103" t="s">
        <v>144</v>
      </c>
      <c r="B103" t="s">
        <v>48</v>
      </c>
      <c r="C103">
        <v>41800</v>
      </c>
      <c r="D103">
        <v>0.1062</v>
      </c>
      <c r="E103">
        <v>35</v>
      </c>
      <c r="F103" t="s">
        <v>41</v>
      </c>
      <c r="G103">
        <v>6.2799999999999995E-2</v>
      </c>
      <c r="H103">
        <v>0.41</v>
      </c>
    </row>
    <row r="104" spans="1:8" x14ac:dyDescent="0.35">
      <c r="A104" t="s">
        <v>145</v>
      </c>
      <c r="B104" t="s">
        <v>40</v>
      </c>
      <c r="C104">
        <v>25700</v>
      </c>
      <c r="D104">
        <v>0.16209999999999999</v>
      </c>
      <c r="E104">
        <v>34</v>
      </c>
      <c r="F104" t="s">
        <v>41</v>
      </c>
      <c r="G104">
        <v>5.8099999999999999E-2</v>
      </c>
      <c r="H104">
        <v>0.49</v>
      </c>
    </row>
    <row r="105" spans="1:8" x14ac:dyDescent="0.35">
      <c r="A105" t="s">
        <v>146</v>
      </c>
      <c r="B105" t="s">
        <v>40</v>
      </c>
      <c r="C105">
        <v>35400</v>
      </c>
      <c r="D105">
        <v>9.8000000000000004E-2</v>
      </c>
      <c r="E105">
        <v>24</v>
      </c>
      <c r="F105" t="s">
        <v>41</v>
      </c>
      <c r="G105">
        <v>8.7099999999999997E-2</v>
      </c>
      <c r="H105">
        <v>0.63</v>
      </c>
    </row>
    <row r="106" spans="1:8" x14ac:dyDescent="0.35">
      <c r="A106" t="s">
        <v>147</v>
      </c>
      <c r="B106" t="s">
        <v>40</v>
      </c>
      <c r="C106">
        <v>55400</v>
      </c>
      <c r="D106">
        <v>8.0299999999999996E-2</v>
      </c>
      <c r="E106">
        <v>22</v>
      </c>
      <c r="F106" t="s">
        <v>41</v>
      </c>
      <c r="G106">
        <v>3.6400000000000002E-2</v>
      </c>
      <c r="H106">
        <v>0.48</v>
      </c>
    </row>
    <row r="107" spans="1:8" x14ac:dyDescent="0.35">
      <c r="A107" t="s">
        <v>148</v>
      </c>
      <c r="B107" t="s">
        <v>40</v>
      </c>
      <c r="C107">
        <v>22500</v>
      </c>
      <c r="D107">
        <v>0.1268</v>
      </c>
      <c r="E107">
        <v>29</v>
      </c>
      <c r="F107" t="s">
        <v>41</v>
      </c>
      <c r="G107">
        <v>9.74E-2</v>
      </c>
      <c r="H107">
        <v>0.47</v>
      </c>
    </row>
    <row r="108" spans="1:8" x14ac:dyDescent="0.35">
      <c r="A108" t="s">
        <v>149</v>
      </c>
      <c r="B108" t="s">
        <v>40</v>
      </c>
      <c r="C108">
        <v>30500</v>
      </c>
      <c r="D108">
        <v>0.17230000000000001</v>
      </c>
      <c r="E108">
        <v>34</v>
      </c>
      <c r="F108" t="s">
        <v>41</v>
      </c>
      <c r="G108">
        <v>7.6899999999999996E-2</v>
      </c>
      <c r="H108">
        <v>0.46</v>
      </c>
    </row>
    <row r="109" spans="1:8" x14ac:dyDescent="0.35">
      <c r="A109" t="s">
        <v>150</v>
      </c>
      <c r="B109" t="s">
        <v>40</v>
      </c>
      <c r="C109">
        <v>47800</v>
      </c>
      <c r="D109">
        <v>0.14349999999999999</v>
      </c>
      <c r="E109">
        <v>30</v>
      </c>
      <c r="F109" t="s">
        <v>41</v>
      </c>
      <c r="G109">
        <v>3.5999999999999997E-2</v>
      </c>
      <c r="H109">
        <v>0.55000000000000004</v>
      </c>
    </row>
    <row r="110" spans="1:8" x14ac:dyDescent="0.35">
      <c r="A110" t="s">
        <v>151</v>
      </c>
      <c r="B110" t="s">
        <v>45</v>
      </c>
      <c r="C110">
        <v>21400</v>
      </c>
      <c r="D110">
        <v>0.12839999999999999</v>
      </c>
      <c r="E110">
        <v>20</v>
      </c>
      <c r="F110" t="s">
        <v>41</v>
      </c>
      <c r="G110">
        <v>7.8899999999999998E-2</v>
      </c>
      <c r="H110">
        <v>0.69</v>
      </c>
    </row>
    <row r="111" spans="1:8" x14ac:dyDescent="0.35">
      <c r="A111" t="s">
        <v>152</v>
      </c>
      <c r="B111" t="s">
        <v>48</v>
      </c>
      <c r="C111">
        <v>13800</v>
      </c>
      <c r="D111">
        <v>7.17E-2</v>
      </c>
      <c r="E111">
        <v>26</v>
      </c>
      <c r="F111" t="s">
        <v>41</v>
      </c>
      <c r="G111">
        <v>6.2399999999999997E-2</v>
      </c>
      <c r="H111">
        <v>0.54</v>
      </c>
    </row>
    <row r="112" spans="1:8" x14ac:dyDescent="0.35">
      <c r="A112" t="s">
        <v>153</v>
      </c>
      <c r="B112" t="s">
        <v>40</v>
      </c>
      <c r="C112">
        <v>24500</v>
      </c>
      <c r="D112">
        <v>0.1338</v>
      </c>
      <c r="E112">
        <v>34</v>
      </c>
      <c r="F112" t="s">
        <v>41</v>
      </c>
      <c r="G112">
        <v>7.6600000000000001E-2</v>
      </c>
      <c r="H112">
        <v>0.56999999999999995</v>
      </c>
    </row>
    <row r="113" spans="1:8" x14ac:dyDescent="0.35">
      <c r="A113" t="s">
        <v>154</v>
      </c>
      <c r="B113" t="s">
        <v>40</v>
      </c>
      <c r="C113">
        <v>18100</v>
      </c>
      <c r="D113">
        <v>0.17879999999999999</v>
      </c>
      <c r="E113">
        <v>34</v>
      </c>
      <c r="F113" t="s">
        <v>41</v>
      </c>
      <c r="G113">
        <v>8.14E-2</v>
      </c>
      <c r="H113">
        <v>0.66</v>
      </c>
    </row>
    <row r="114" spans="1:8" x14ac:dyDescent="0.35">
      <c r="A114" t="s">
        <v>155</v>
      </c>
      <c r="B114" t="s">
        <v>40</v>
      </c>
      <c r="C114">
        <v>56500</v>
      </c>
      <c r="D114">
        <v>7.6799999999999993E-2</v>
      </c>
      <c r="E114">
        <v>33</v>
      </c>
      <c r="F114" t="s">
        <v>41</v>
      </c>
      <c r="G114">
        <v>2.7E-2</v>
      </c>
      <c r="H114">
        <v>0.56000000000000005</v>
      </c>
    </row>
    <row r="115" spans="1:8" x14ac:dyDescent="0.35">
      <c r="A115" t="s">
        <v>156</v>
      </c>
      <c r="B115" t="s">
        <v>40</v>
      </c>
      <c r="C115">
        <v>50400</v>
      </c>
      <c r="D115">
        <v>0.1222</v>
      </c>
      <c r="E115">
        <v>30</v>
      </c>
      <c r="F115" t="s">
        <v>41</v>
      </c>
      <c r="G115">
        <v>6.0499999999999998E-2</v>
      </c>
      <c r="H115">
        <v>0.46</v>
      </c>
    </row>
    <row r="116" spans="1:8" x14ac:dyDescent="0.35">
      <c r="A116" t="s">
        <v>157</v>
      </c>
      <c r="B116" t="s">
        <v>40</v>
      </c>
      <c r="C116">
        <v>41700</v>
      </c>
      <c r="D116">
        <v>0.1653</v>
      </c>
      <c r="E116">
        <v>36</v>
      </c>
      <c r="F116" t="s">
        <v>41</v>
      </c>
      <c r="G116">
        <v>9.4600000000000004E-2</v>
      </c>
      <c r="H116">
        <v>0.49</v>
      </c>
    </row>
    <row r="117" spans="1:8" x14ac:dyDescent="0.35">
      <c r="A117" t="s">
        <v>158</v>
      </c>
      <c r="B117" t="s">
        <v>48</v>
      </c>
      <c r="C117">
        <v>53600</v>
      </c>
      <c r="D117">
        <v>0.1489</v>
      </c>
      <c r="E117">
        <v>34</v>
      </c>
      <c r="F117" t="s">
        <v>41</v>
      </c>
      <c r="G117">
        <v>4.5699999999999998E-2</v>
      </c>
      <c r="H117">
        <v>0.49</v>
      </c>
    </row>
    <row r="118" spans="1:8" x14ac:dyDescent="0.35">
      <c r="A118" t="s">
        <v>159</v>
      </c>
      <c r="B118" t="s">
        <v>40</v>
      </c>
      <c r="C118">
        <v>50200</v>
      </c>
      <c r="D118">
        <v>0.14360000000000001</v>
      </c>
      <c r="E118">
        <v>21</v>
      </c>
      <c r="F118" t="s">
        <v>41</v>
      </c>
      <c r="G118">
        <v>6.7500000000000004E-2</v>
      </c>
      <c r="H118">
        <v>0.52</v>
      </c>
    </row>
    <row r="119" spans="1:8" x14ac:dyDescent="0.35">
      <c r="A119" t="s">
        <v>160</v>
      </c>
      <c r="B119" t="s">
        <v>48</v>
      </c>
      <c r="C119">
        <v>19300</v>
      </c>
      <c r="D119">
        <v>0.14430000000000001</v>
      </c>
      <c r="E119">
        <v>29</v>
      </c>
      <c r="F119" t="s">
        <v>41</v>
      </c>
      <c r="G119">
        <v>4.9500000000000002E-2</v>
      </c>
      <c r="H119">
        <v>0.53</v>
      </c>
    </row>
    <row r="120" spans="1:8" x14ac:dyDescent="0.35">
      <c r="A120" t="s">
        <v>161</v>
      </c>
      <c r="B120" t="s">
        <v>45</v>
      </c>
      <c r="C120">
        <v>54600</v>
      </c>
      <c r="D120">
        <v>0.1031</v>
      </c>
      <c r="E120">
        <v>26</v>
      </c>
      <c r="F120" t="s">
        <v>41</v>
      </c>
      <c r="G120">
        <v>5.6300000000000003E-2</v>
      </c>
      <c r="H120">
        <v>0.64</v>
      </c>
    </row>
    <row r="121" spans="1:8" x14ac:dyDescent="0.35">
      <c r="A121" t="s">
        <v>162</v>
      </c>
      <c r="B121" t="s">
        <v>40</v>
      </c>
      <c r="C121">
        <v>37000</v>
      </c>
      <c r="D121">
        <v>9.5200000000000007E-2</v>
      </c>
      <c r="E121">
        <v>36</v>
      </c>
      <c r="F121" t="s">
        <v>41</v>
      </c>
      <c r="G121">
        <v>6.3899999999999998E-2</v>
      </c>
      <c r="H121">
        <v>0.5</v>
      </c>
    </row>
    <row r="122" spans="1:8" x14ac:dyDescent="0.35">
      <c r="A122" t="s">
        <v>163</v>
      </c>
      <c r="B122" t="s">
        <v>48</v>
      </c>
      <c r="C122">
        <v>50400</v>
      </c>
      <c r="D122">
        <v>0.15709999999999999</v>
      </c>
      <c r="E122">
        <v>29</v>
      </c>
      <c r="F122" t="s">
        <v>41</v>
      </c>
      <c r="G122">
        <v>6.3899999999999998E-2</v>
      </c>
      <c r="H122">
        <v>0.54</v>
      </c>
    </row>
    <row r="123" spans="1:8" x14ac:dyDescent="0.35">
      <c r="A123" t="s">
        <v>164</v>
      </c>
      <c r="B123" t="s">
        <v>48</v>
      </c>
      <c r="C123">
        <v>54800</v>
      </c>
      <c r="D123">
        <v>0.15720000000000001</v>
      </c>
      <c r="E123">
        <v>26</v>
      </c>
      <c r="F123" t="s">
        <v>41</v>
      </c>
      <c r="G123">
        <v>3.61E-2</v>
      </c>
      <c r="H123">
        <v>0.59</v>
      </c>
    </row>
    <row r="124" spans="1:8" x14ac:dyDescent="0.35">
      <c r="A124" t="s">
        <v>165</v>
      </c>
      <c r="B124" t="s">
        <v>40</v>
      </c>
      <c r="C124">
        <v>25900</v>
      </c>
      <c r="D124">
        <v>0.16400000000000001</v>
      </c>
      <c r="E124">
        <v>24</v>
      </c>
      <c r="F124" t="s">
        <v>41</v>
      </c>
      <c r="G124">
        <v>7.4800000000000005E-2</v>
      </c>
      <c r="H124">
        <v>0.51</v>
      </c>
    </row>
    <row r="125" spans="1:8" x14ac:dyDescent="0.35">
      <c r="A125" t="s">
        <v>166</v>
      </c>
      <c r="B125" t="s">
        <v>40</v>
      </c>
      <c r="C125">
        <v>15500</v>
      </c>
      <c r="D125">
        <v>0.1696</v>
      </c>
      <c r="E125">
        <v>31</v>
      </c>
      <c r="F125" t="s">
        <v>41</v>
      </c>
      <c r="G125">
        <v>2.7E-2</v>
      </c>
      <c r="H125">
        <v>0.65</v>
      </c>
    </row>
    <row r="126" spans="1:8" x14ac:dyDescent="0.35">
      <c r="A126" t="s">
        <v>167</v>
      </c>
      <c r="B126" t="s">
        <v>48</v>
      </c>
      <c r="C126">
        <v>21400</v>
      </c>
      <c r="D126">
        <v>0.12139999999999999</v>
      </c>
      <c r="E126">
        <v>36</v>
      </c>
      <c r="F126" t="s">
        <v>41</v>
      </c>
      <c r="G126">
        <v>3.1099999999999999E-2</v>
      </c>
      <c r="H126">
        <v>0.57999999999999996</v>
      </c>
    </row>
    <row r="127" spans="1:8" x14ac:dyDescent="0.35">
      <c r="A127" t="s">
        <v>168</v>
      </c>
      <c r="B127" t="s">
        <v>48</v>
      </c>
      <c r="C127">
        <v>31400</v>
      </c>
      <c r="D127">
        <v>0.1202</v>
      </c>
      <c r="E127">
        <v>32</v>
      </c>
      <c r="F127" t="s">
        <v>41</v>
      </c>
      <c r="G127">
        <v>2.0199999999999999E-2</v>
      </c>
      <c r="H127">
        <v>0.49</v>
      </c>
    </row>
    <row r="128" spans="1:8" x14ac:dyDescent="0.35">
      <c r="A128" t="s">
        <v>169</v>
      </c>
      <c r="B128" t="s">
        <v>48</v>
      </c>
      <c r="C128">
        <v>50900</v>
      </c>
      <c r="D128">
        <v>0.15579999999999999</v>
      </c>
      <c r="E128">
        <v>33</v>
      </c>
      <c r="F128" t="s">
        <v>41</v>
      </c>
      <c r="G128">
        <v>2.93E-2</v>
      </c>
      <c r="H128">
        <v>0.61</v>
      </c>
    </row>
    <row r="129" spans="1:8" x14ac:dyDescent="0.35">
      <c r="A129" t="s">
        <v>170</v>
      </c>
      <c r="B129" t="s">
        <v>45</v>
      </c>
      <c r="C129">
        <v>53000</v>
      </c>
      <c r="D129">
        <v>0.13800000000000001</v>
      </c>
      <c r="E129">
        <v>22</v>
      </c>
      <c r="F129" t="s">
        <v>41</v>
      </c>
      <c r="G129">
        <v>5.79E-2</v>
      </c>
      <c r="H129">
        <v>0.56000000000000005</v>
      </c>
    </row>
    <row r="130" spans="1:8" x14ac:dyDescent="0.35">
      <c r="A130" t="s">
        <v>171</v>
      </c>
      <c r="B130" t="s">
        <v>48</v>
      </c>
      <c r="C130">
        <v>10300</v>
      </c>
      <c r="D130">
        <v>0.14419999999999999</v>
      </c>
      <c r="E130">
        <v>20</v>
      </c>
      <c r="F130" t="s">
        <v>41</v>
      </c>
      <c r="G130">
        <v>6.8500000000000005E-2</v>
      </c>
      <c r="H130">
        <v>0.56000000000000005</v>
      </c>
    </row>
    <row r="131" spans="1:8" x14ac:dyDescent="0.35">
      <c r="A131" t="s">
        <v>172</v>
      </c>
      <c r="B131" t="s">
        <v>45</v>
      </c>
      <c r="C131">
        <v>35500</v>
      </c>
      <c r="D131">
        <v>0.1555</v>
      </c>
      <c r="E131">
        <v>29</v>
      </c>
      <c r="F131" t="s">
        <v>41</v>
      </c>
      <c r="G131">
        <v>8.3500000000000005E-2</v>
      </c>
      <c r="H131">
        <v>0.54</v>
      </c>
    </row>
    <row r="132" spans="1:8" x14ac:dyDescent="0.35">
      <c r="A132" t="s">
        <v>173</v>
      </c>
      <c r="B132" t="s">
        <v>48</v>
      </c>
      <c r="C132">
        <v>30900</v>
      </c>
      <c r="D132">
        <v>0.1668</v>
      </c>
      <c r="E132">
        <v>21</v>
      </c>
      <c r="F132" t="s">
        <v>41</v>
      </c>
      <c r="G132">
        <v>2.8500000000000001E-2</v>
      </c>
      <c r="H132">
        <v>0.55000000000000004</v>
      </c>
    </row>
    <row r="133" spans="1:8" x14ac:dyDescent="0.35">
      <c r="A133" t="s">
        <v>174</v>
      </c>
      <c r="B133" t="s">
        <v>48</v>
      </c>
      <c r="C133">
        <v>21100</v>
      </c>
      <c r="D133">
        <v>0.10059999999999999</v>
      </c>
      <c r="E133">
        <v>33</v>
      </c>
      <c r="F133" t="s">
        <v>41</v>
      </c>
      <c r="G133">
        <v>8.8099999999999998E-2</v>
      </c>
      <c r="H133">
        <v>0.63</v>
      </c>
    </row>
    <row r="134" spans="1:8" x14ac:dyDescent="0.35">
      <c r="A134" t="s">
        <v>175</v>
      </c>
      <c r="B134" t="s">
        <v>48</v>
      </c>
      <c r="C134">
        <v>16000</v>
      </c>
      <c r="D134">
        <v>0.1051</v>
      </c>
      <c r="E134">
        <v>24</v>
      </c>
      <c r="F134" t="s">
        <v>41</v>
      </c>
      <c r="G134">
        <v>7.9699999999999993E-2</v>
      </c>
      <c r="H134">
        <v>0.43</v>
      </c>
    </row>
    <row r="135" spans="1:8" x14ac:dyDescent="0.35">
      <c r="A135" t="s">
        <v>176</v>
      </c>
      <c r="B135" t="s">
        <v>40</v>
      </c>
      <c r="C135">
        <v>26900</v>
      </c>
      <c r="D135">
        <v>7.1300000000000002E-2</v>
      </c>
      <c r="E135">
        <v>30</v>
      </c>
      <c r="F135" t="s">
        <v>41</v>
      </c>
      <c r="G135">
        <v>5.2699999999999997E-2</v>
      </c>
      <c r="H135">
        <v>0.5</v>
      </c>
    </row>
    <row r="136" spans="1:8" x14ac:dyDescent="0.35">
      <c r="A136" t="s">
        <v>177</v>
      </c>
      <c r="B136" t="s">
        <v>48</v>
      </c>
      <c r="C136">
        <v>57100</v>
      </c>
      <c r="D136">
        <v>0.12939999999999999</v>
      </c>
      <c r="E136">
        <v>27</v>
      </c>
      <c r="F136" t="s">
        <v>41</v>
      </c>
      <c r="G136">
        <v>9.4600000000000004E-2</v>
      </c>
      <c r="H136">
        <v>0.42</v>
      </c>
    </row>
    <row r="137" spans="1:8" x14ac:dyDescent="0.35">
      <c r="A137" t="s">
        <v>178</v>
      </c>
      <c r="B137" t="s">
        <v>48</v>
      </c>
      <c r="C137">
        <v>26200</v>
      </c>
      <c r="D137">
        <v>6.4299999999999996E-2</v>
      </c>
      <c r="E137">
        <v>24</v>
      </c>
      <c r="F137" t="s">
        <v>41</v>
      </c>
      <c r="G137">
        <v>9.9299999999999999E-2</v>
      </c>
      <c r="H137">
        <v>0.63</v>
      </c>
    </row>
    <row r="138" spans="1:8" x14ac:dyDescent="0.35">
      <c r="A138" t="s">
        <v>179</v>
      </c>
      <c r="B138" t="s">
        <v>40</v>
      </c>
      <c r="C138">
        <v>35900</v>
      </c>
      <c r="D138">
        <v>0.1159</v>
      </c>
      <c r="E138">
        <v>31</v>
      </c>
      <c r="F138" t="s">
        <v>41</v>
      </c>
      <c r="G138">
        <v>3.6400000000000002E-2</v>
      </c>
      <c r="H138">
        <v>0.48</v>
      </c>
    </row>
    <row r="139" spans="1:8" x14ac:dyDescent="0.35">
      <c r="A139" t="s">
        <v>180</v>
      </c>
      <c r="B139" t="s">
        <v>45</v>
      </c>
      <c r="C139">
        <v>45200</v>
      </c>
      <c r="D139">
        <v>0.12509999999999999</v>
      </c>
      <c r="E139">
        <v>22</v>
      </c>
      <c r="F139" t="s">
        <v>41</v>
      </c>
      <c r="G139">
        <v>5.0299999999999997E-2</v>
      </c>
      <c r="H139">
        <v>0.67</v>
      </c>
    </row>
    <row r="140" spans="1:8" x14ac:dyDescent="0.35">
      <c r="A140" t="s">
        <v>181</v>
      </c>
      <c r="B140" t="s">
        <v>40</v>
      </c>
      <c r="C140">
        <v>28200</v>
      </c>
      <c r="D140">
        <v>9.4399999999999998E-2</v>
      </c>
      <c r="E140">
        <v>20</v>
      </c>
      <c r="F140" t="s">
        <v>41</v>
      </c>
      <c r="G140">
        <v>9.4100000000000003E-2</v>
      </c>
      <c r="H140">
        <v>0.56000000000000005</v>
      </c>
    </row>
    <row r="141" spans="1:8" x14ac:dyDescent="0.35">
      <c r="A141" t="s">
        <v>182</v>
      </c>
      <c r="B141" t="s">
        <v>48</v>
      </c>
      <c r="C141">
        <v>58600</v>
      </c>
      <c r="D141">
        <v>0.13089999999999999</v>
      </c>
      <c r="E141">
        <v>28</v>
      </c>
      <c r="F141" t="s">
        <v>41</v>
      </c>
      <c r="G141">
        <v>7.7700000000000005E-2</v>
      </c>
      <c r="H141">
        <v>0.64</v>
      </c>
    </row>
    <row r="142" spans="1:8" x14ac:dyDescent="0.35">
      <c r="A142" t="s">
        <v>183</v>
      </c>
      <c r="B142" t="s">
        <v>48</v>
      </c>
      <c r="C142">
        <v>58100</v>
      </c>
      <c r="D142">
        <v>6.3700000000000007E-2</v>
      </c>
      <c r="E142">
        <v>28</v>
      </c>
      <c r="F142" t="s">
        <v>41</v>
      </c>
      <c r="G142">
        <v>2.3800000000000002E-2</v>
      </c>
      <c r="H142">
        <v>0.69</v>
      </c>
    </row>
    <row r="143" spans="1:8" x14ac:dyDescent="0.35">
      <c r="A143" t="s">
        <v>184</v>
      </c>
      <c r="B143" t="s">
        <v>48</v>
      </c>
      <c r="C143">
        <v>22600</v>
      </c>
      <c r="D143">
        <v>6.4500000000000002E-2</v>
      </c>
      <c r="E143">
        <v>35</v>
      </c>
      <c r="F143" t="s">
        <v>41</v>
      </c>
      <c r="G143">
        <v>8.2500000000000004E-2</v>
      </c>
      <c r="H143">
        <v>0.65</v>
      </c>
    </row>
    <row r="144" spans="1:8" x14ac:dyDescent="0.35">
      <c r="A144" t="s">
        <v>185</v>
      </c>
      <c r="B144" t="s">
        <v>40</v>
      </c>
      <c r="C144">
        <v>34900</v>
      </c>
      <c r="D144">
        <v>0.15870000000000001</v>
      </c>
      <c r="E144">
        <v>32</v>
      </c>
      <c r="F144" t="s">
        <v>41</v>
      </c>
      <c r="G144">
        <v>8.6199999999999999E-2</v>
      </c>
      <c r="H144">
        <v>0.66</v>
      </c>
    </row>
    <row r="145" spans="1:8" x14ac:dyDescent="0.35">
      <c r="A145" t="s">
        <v>186</v>
      </c>
      <c r="B145" t="s">
        <v>48</v>
      </c>
      <c r="C145">
        <v>25000</v>
      </c>
      <c r="D145">
        <v>0.1032</v>
      </c>
      <c r="E145">
        <v>29</v>
      </c>
      <c r="F145" t="s">
        <v>41</v>
      </c>
      <c r="G145">
        <v>0.08</v>
      </c>
      <c r="H145">
        <v>0.52</v>
      </c>
    </row>
    <row r="146" spans="1:8" x14ac:dyDescent="0.35">
      <c r="A146" t="s">
        <v>187</v>
      </c>
      <c r="B146" t="s">
        <v>48</v>
      </c>
      <c r="C146">
        <v>24200</v>
      </c>
      <c r="D146">
        <v>7.5200000000000003E-2</v>
      </c>
      <c r="E146">
        <v>26</v>
      </c>
      <c r="F146" t="s">
        <v>41</v>
      </c>
      <c r="G146">
        <v>8.4000000000000005E-2</v>
      </c>
      <c r="H146">
        <v>0.56999999999999995</v>
      </c>
    </row>
    <row r="147" spans="1:8" x14ac:dyDescent="0.35">
      <c r="A147" t="s">
        <v>188</v>
      </c>
      <c r="B147" t="s">
        <v>40</v>
      </c>
      <c r="C147">
        <v>11800</v>
      </c>
      <c r="D147">
        <v>0.1227</v>
      </c>
      <c r="E147">
        <v>27</v>
      </c>
      <c r="F147" t="s">
        <v>41</v>
      </c>
      <c r="G147">
        <v>8.5999999999999993E-2</v>
      </c>
      <c r="H147">
        <v>0.48</v>
      </c>
    </row>
    <row r="148" spans="1:8" x14ac:dyDescent="0.35">
      <c r="A148" t="s">
        <v>189</v>
      </c>
      <c r="B148" t="s">
        <v>40</v>
      </c>
      <c r="C148">
        <v>40500</v>
      </c>
      <c r="D148">
        <v>0.15240000000000001</v>
      </c>
      <c r="E148">
        <v>29</v>
      </c>
      <c r="F148" t="s">
        <v>41</v>
      </c>
      <c r="G148">
        <v>3.49E-2</v>
      </c>
      <c r="H148">
        <v>0.46</v>
      </c>
    </row>
    <row r="149" spans="1:8" x14ac:dyDescent="0.35">
      <c r="A149" t="s">
        <v>190</v>
      </c>
      <c r="B149" t="s">
        <v>48</v>
      </c>
      <c r="C149">
        <v>35100</v>
      </c>
      <c r="D149">
        <v>8.5900000000000004E-2</v>
      </c>
      <c r="E149">
        <v>34</v>
      </c>
      <c r="F149" t="s">
        <v>41</v>
      </c>
      <c r="G149">
        <v>3.8899999999999997E-2</v>
      </c>
      <c r="H149">
        <v>0.55000000000000004</v>
      </c>
    </row>
    <row r="150" spans="1:8" x14ac:dyDescent="0.35">
      <c r="A150" t="s">
        <v>191</v>
      </c>
      <c r="B150" t="s">
        <v>40</v>
      </c>
      <c r="C150">
        <v>12600</v>
      </c>
      <c r="D150">
        <v>0.13469999999999999</v>
      </c>
      <c r="E150">
        <v>23</v>
      </c>
      <c r="F150" t="s">
        <v>41</v>
      </c>
      <c r="G150">
        <v>7.0699999999999999E-2</v>
      </c>
      <c r="H150">
        <v>0.57999999999999996</v>
      </c>
    </row>
    <row r="151" spans="1:8" x14ac:dyDescent="0.35">
      <c r="A151" t="s">
        <v>192</v>
      </c>
      <c r="B151" t="s">
        <v>40</v>
      </c>
      <c r="C151">
        <v>23900</v>
      </c>
      <c r="D151">
        <v>7.0199999999999999E-2</v>
      </c>
      <c r="E151">
        <v>24</v>
      </c>
      <c r="F151" t="s">
        <v>41</v>
      </c>
      <c r="G151">
        <v>9.2600000000000002E-2</v>
      </c>
      <c r="H15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7"/>
  <sheetViews>
    <sheetView workbookViewId="0"/>
  </sheetViews>
  <sheetFormatPr defaultRowHeight="14.5" x14ac:dyDescent="0.35"/>
  <cols>
    <col min="1" max="10" width="16.7265625" customWidth="1"/>
  </cols>
  <sheetData>
    <row r="1" spans="1:10" x14ac:dyDescent="0.35">
      <c r="A1" s="2" t="s">
        <v>193</v>
      </c>
      <c r="B1" s="2" t="s">
        <v>194</v>
      </c>
      <c r="C1" s="2" t="s">
        <v>195</v>
      </c>
      <c r="D1" s="2" t="s">
        <v>196</v>
      </c>
      <c r="E1" s="2" t="s">
        <v>197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202</v>
      </c>
    </row>
    <row r="2" spans="1:10" x14ac:dyDescent="0.35">
      <c r="A2">
        <v>1</v>
      </c>
      <c r="B2" s="5">
        <f>InitPool</f>
        <v>5046400</v>
      </c>
      <c r="C2" s="5">
        <f t="shared" ref="C2:C37" si="0">B2*0.122102/12</f>
        <v>51347.96106666667</v>
      </c>
      <c r="D2" s="5">
        <f>MIN(B2,B2/36)</f>
        <v>140177.77777777778</v>
      </c>
      <c r="E2" s="5">
        <f t="shared" ref="E2:E37" si="1">B2*(ADR_Base/12)</f>
        <v>21026.666666666668</v>
      </c>
      <c r="F2" s="5">
        <f>IF(1&lt;=RecLag,0,INDEX(Port_Defaults,1-RecLag)*RecoveryRate)</f>
        <v>0</v>
      </c>
      <c r="G2" s="5">
        <f t="shared" ref="G2:G37" si="2">B2*(CPR/12)</f>
        <v>12616</v>
      </c>
      <c r="H2" s="5">
        <f t="shared" ref="H2:H37" si="3">FeePct*(C2+D2+F2)</f>
        <v>1915.2573884444446</v>
      </c>
      <c r="I2" s="5">
        <f t="shared" ref="I2:I37" si="4">C2+D2+F2-E2-G2-H2</f>
        <v>155967.81478933335</v>
      </c>
      <c r="J2" s="5">
        <f t="shared" ref="J2:J37" si="5">B2-(D2+E2+G2)</f>
        <v>4872579.555555556</v>
      </c>
    </row>
    <row r="3" spans="1:10" x14ac:dyDescent="0.35">
      <c r="A3">
        <v>2</v>
      </c>
      <c r="B3" s="5">
        <f t="shared" ref="B3:B37" si="6">J2</f>
        <v>4872579.555555556</v>
      </c>
      <c r="C3" s="5">
        <f t="shared" si="0"/>
        <v>49579.309074370372</v>
      </c>
      <c r="D3" s="5">
        <f>MIN(B3,B3/35)</f>
        <v>139216.55873015875</v>
      </c>
      <c r="E3" s="5">
        <f t="shared" si="1"/>
        <v>20302.414814814816</v>
      </c>
      <c r="F3" s="5">
        <f>IF(2&lt;=RecLag,0,INDEX(Port_Defaults,2-RecLag)*RecoveryRate)</f>
        <v>0</v>
      </c>
      <c r="G3" s="5">
        <f t="shared" si="2"/>
        <v>12181.44888888889</v>
      </c>
      <c r="H3" s="5">
        <f t="shared" si="3"/>
        <v>1887.9586780452912</v>
      </c>
      <c r="I3" s="5">
        <f t="shared" si="4"/>
        <v>154424.04542278012</v>
      </c>
      <c r="J3" s="5">
        <f t="shared" si="5"/>
        <v>4700879.1331216935</v>
      </c>
    </row>
    <row r="4" spans="1:10" x14ac:dyDescent="0.35">
      <c r="A4">
        <v>3</v>
      </c>
      <c r="B4" s="5">
        <f t="shared" si="6"/>
        <v>4700879.1331216935</v>
      </c>
      <c r="C4" s="5">
        <f t="shared" si="0"/>
        <v>47832.228659368753</v>
      </c>
      <c r="D4" s="5">
        <f>MIN(B4,B4/34)</f>
        <v>138261.15097416745</v>
      </c>
      <c r="E4" s="5">
        <f t="shared" si="1"/>
        <v>19586.996388007057</v>
      </c>
      <c r="F4" s="5">
        <f>IF(3&lt;=RecLag,0,INDEX(Port_Defaults,3-RecLag)*RecoveryRate)</f>
        <v>0</v>
      </c>
      <c r="G4" s="5">
        <f t="shared" si="2"/>
        <v>11752.197832804233</v>
      </c>
      <c r="H4" s="5">
        <f t="shared" si="3"/>
        <v>1860.9337963353621</v>
      </c>
      <c r="I4" s="5">
        <f t="shared" si="4"/>
        <v>152893.25161638955</v>
      </c>
      <c r="J4" s="5">
        <f t="shared" si="5"/>
        <v>4531278.7879267149</v>
      </c>
    </row>
    <row r="5" spans="1:10" x14ac:dyDescent="0.35">
      <c r="A5">
        <v>4</v>
      </c>
      <c r="B5" s="5">
        <f t="shared" si="6"/>
        <v>4531278.7879267149</v>
      </c>
      <c r="C5" s="5">
        <f t="shared" si="0"/>
        <v>46106.516880285642</v>
      </c>
      <c r="D5" s="5">
        <f>MIN(B5,B5/33)</f>
        <v>137311.47842202167</v>
      </c>
      <c r="E5" s="5">
        <f t="shared" si="1"/>
        <v>18880.328283027979</v>
      </c>
      <c r="F5" s="5">
        <f>IF(4&lt;=RecLag,0,INDEX(Port_Defaults,4-RecLag)*RecoveryRate)</f>
        <v>12616</v>
      </c>
      <c r="G5" s="5">
        <f t="shared" si="2"/>
        <v>11328.196969816787</v>
      </c>
      <c r="H5" s="5">
        <f t="shared" si="3"/>
        <v>1960.3399530230731</v>
      </c>
      <c r="I5" s="5">
        <f t="shared" si="4"/>
        <v>163865.13009643948</v>
      </c>
      <c r="J5" s="5">
        <f t="shared" si="5"/>
        <v>4363758.7842518482</v>
      </c>
    </row>
    <row r="6" spans="1:10" x14ac:dyDescent="0.35">
      <c r="A6">
        <v>5</v>
      </c>
      <c r="B6" s="5">
        <f t="shared" si="6"/>
        <v>4363758.7842518482</v>
      </c>
      <c r="C6" s="5">
        <f t="shared" si="0"/>
        <v>44401.972922893263</v>
      </c>
      <c r="D6" s="5">
        <f>MIN(B6,B6/32)</f>
        <v>136367.46200787026</v>
      </c>
      <c r="E6" s="5">
        <f t="shared" si="1"/>
        <v>18182.328267716035</v>
      </c>
      <c r="F6" s="5">
        <f>IF(5&lt;=RecLag,0,INDEX(Port_Defaults,5-RecLag)*RecoveryRate)</f>
        <v>12181.44888888889</v>
      </c>
      <c r="G6" s="5">
        <f t="shared" si="2"/>
        <v>10909.396960629621</v>
      </c>
      <c r="H6" s="5">
        <f t="shared" si="3"/>
        <v>1929.5088381965243</v>
      </c>
      <c r="I6" s="5">
        <f t="shared" si="4"/>
        <v>161929.64975311025</v>
      </c>
      <c r="J6" s="5">
        <f t="shared" si="5"/>
        <v>4198299.5970156323</v>
      </c>
    </row>
    <row r="7" spans="1:10" x14ac:dyDescent="0.35">
      <c r="A7">
        <v>6</v>
      </c>
      <c r="B7" s="5">
        <f t="shared" si="6"/>
        <v>4198299.5970156323</v>
      </c>
      <c r="C7" s="5">
        <f t="shared" si="0"/>
        <v>42718.398116233562</v>
      </c>
      <c r="D7" s="5">
        <f>MIN(B7,B7/31)</f>
        <v>135429.01925856879</v>
      </c>
      <c r="E7" s="5">
        <f t="shared" si="1"/>
        <v>17492.914987565135</v>
      </c>
      <c r="F7" s="5">
        <f>IF(6&lt;=RecLag,0,INDEX(Port_Defaults,6-RecLag)*RecoveryRate)</f>
        <v>11752.197832804233</v>
      </c>
      <c r="G7" s="5">
        <f t="shared" si="2"/>
        <v>10495.748992539082</v>
      </c>
      <c r="H7" s="5">
        <f t="shared" si="3"/>
        <v>1898.9961520760658</v>
      </c>
      <c r="I7" s="5">
        <f t="shared" si="4"/>
        <v>160011.95507542632</v>
      </c>
      <c r="J7" s="5">
        <f t="shared" si="5"/>
        <v>4034881.9137769593</v>
      </c>
    </row>
    <row r="8" spans="1:10" x14ac:dyDescent="0.35">
      <c r="A8">
        <v>7</v>
      </c>
      <c r="B8" s="5">
        <f t="shared" si="6"/>
        <v>4034881.9137769593</v>
      </c>
      <c r="C8" s="5">
        <f t="shared" si="0"/>
        <v>41055.595952999523</v>
      </c>
      <c r="D8" s="5">
        <f>MIN(B8,B8/30)</f>
        <v>134496.06379256531</v>
      </c>
      <c r="E8" s="5">
        <f t="shared" si="1"/>
        <v>16812.007974070664</v>
      </c>
      <c r="F8" s="5">
        <f>IF(7&lt;=RecLag,0,INDEX(Port_Defaults,7-RecLag)*RecoveryRate)</f>
        <v>11328.196969816787</v>
      </c>
      <c r="G8" s="5">
        <f t="shared" si="2"/>
        <v>10087.204784442398</v>
      </c>
      <c r="H8" s="5">
        <f t="shared" si="3"/>
        <v>1868.7985671538161</v>
      </c>
      <c r="I8" s="5">
        <f t="shared" si="4"/>
        <v>158111.84538971473</v>
      </c>
      <c r="J8" s="5">
        <f t="shared" si="5"/>
        <v>3873486.6372258808</v>
      </c>
    </row>
    <row r="9" spans="1:10" x14ac:dyDescent="0.35">
      <c r="A9">
        <v>8</v>
      </c>
      <c r="B9" s="5">
        <f t="shared" si="6"/>
        <v>3873486.6372258808</v>
      </c>
      <c r="C9" s="5">
        <f t="shared" si="0"/>
        <v>39413.372114879538</v>
      </c>
      <c r="D9" s="5">
        <f>MIN(B9,B9/29)</f>
        <v>133568.50473192692</v>
      </c>
      <c r="E9" s="5">
        <f t="shared" si="1"/>
        <v>16139.527655107837</v>
      </c>
      <c r="F9" s="5">
        <f>IF(8&lt;=RecLag,0,INDEX(Port_Defaults,8-RecLag)*RecoveryRate)</f>
        <v>10909.396960629621</v>
      </c>
      <c r="G9" s="5">
        <f t="shared" si="2"/>
        <v>9683.7165930647025</v>
      </c>
      <c r="H9" s="5">
        <f t="shared" si="3"/>
        <v>1838.912738074361</v>
      </c>
      <c r="I9" s="5">
        <f t="shared" si="4"/>
        <v>156229.11682118918</v>
      </c>
      <c r="J9" s="5">
        <f t="shared" si="5"/>
        <v>3714094.8882457814</v>
      </c>
    </row>
    <row r="10" spans="1:10" x14ac:dyDescent="0.35">
      <c r="A10">
        <v>9</v>
      </c>
      <c r="B10" s="5">
        <f t="shared" si="6"/>
        <v>3714094.8882457814</v>
      </c>
      <c r="C10" s="5">
        <f t="shared" si="0"/>
        <v>37791.534503715535</v>
      </c>
      <c r="D10" s="5">
        <f>MIN(B10,B10/28)</f>
        <v>132646.2460087779</v>
      </c>
      <c r="E10" s="5">
        <f t="shared" si="1"/>
        <v>15475.395367690755</v>
      </c>
      <c r="F10" s="5">
        <f>IF(9&lt;=RecLag,0,INDEX(Port_Defaults,9-RecLag)*RecoveryRate)</f>
        <v>10495.74899253908</v>
      </c>
      <c r="G10" s="5">
        <f t="shared" si="2"/>
        <v>9285.2372206144537</v>
      </c>
      <c r="H10" s="5">
        <f t="shared" si="3"/>
        <v>1809.3352950503252</v>
      </c>
      <c r="I10" s="5">
        <f t="shared" si="4"/>
        <v>154363.56162167698</v>
      </c>
      <c r="J10" s="5">
        <f t="shared" si="5"/>
        <v>3556688.0096486984</v>
      </c>
    </row>
    <row r="11" spans="1:10" x14ac:dyDescent="0.35">
      <c r="A11">
        <v>10</v>
      </c>
      <c r="B11" s="5">
        <f t="shared" si="6"/>
        <v>3556688.0096486984</v>
      </c>
      <c r="C11" s="5">
        <f t="shared" si="0"/>
        <v>36189.893279510448</v>
      </c>
      <c r="D11" s="5">
        <f>MIN(B11,B11/27)</f>
        <v>131729.18554254438</v>
      </c>
      <c r="E11" s="5">
        <f t="shared" si="1"/>
        <v>14819.533373536244</v>
      </c>
      <c r="F11" s="5">
        <f>IF(10&lt;=RecLag,0,INDEX(Port_Defaults,10-RecLag)*RecoveryRate)</f>
        <v>10087.204784442398</v>
      </c>
      <c r="G11" s="5">
        <f t="shared" si="2"/>
        <v>8891.720024121747</v>
      </c>
      <c r="H11" s="5">
        <f t="shared" si="3"/>
        <v>1780.0628360649725</v>
      </c>
      <c r="I11" s="5">
        <f t="shared" si="4"/>
        <v>152514.96737277426</v>
      </c>
      <c r="J11" s="5">
        <f t="shared" si="5"/>
        <v>3401247.570708496</v>
      </c>
    </row>
    <row r="12" spans="1:10" x14ac:dyDescent="0.35">
      <c r="A12">
        <v>11</v>
      </c>
      <c r="B12" s="5">
        <f t="shared" si="6"/>
        <v>3401247.570708496</v>
      </c>
      <c r="C12" s="5">
        <f t="shared" si="0"/>
        <v>34608.260906554067</v>
      </c>
      <c r="D12" s="5">
        <f>MIN(B12,B12/26)</f>
        <v>130817.21425801908</v>
      </c>
      <c r="E12" s="5">
        <f t="shared" si="1"/>
        <v>14171.864877952066</v>
      </c>
      <c r="F12" s="5">
        <f>IF(11&lt;=RecLag,0,INDEX(Port_Defaults,11-RecLag)*RecoveryRate)</f>
        <v>9683.7165930647025</v>
      </c>
      <c r="G12" s="5">
        <f t="shared" si="2"/>
        <v>8503.1189267712398</v>
      </c>
      <c r="H12" s="5">
        <f t="shared" si="3"/>
        <v>1751.0919175763784</v>
      </c>
      <c r="I12" s="5">
        <f t="shared" si="4"/>
        <v>150683.11603533814</v>
      </c>
      <c r="J12" s="5">
        <f t="shared" si="5"/>
        <v>3247755.3726457534</v>
      </c>
    </row>
    <row r="13" spans="1:10" x14ac:dyDescent="0.35">
      <c r="A13">
        <v>12</v>
      </c>
      <c r="B13" s="5">
        <f t="shared" si="6"/>
        <v>3247755.3726457534</v>
      </c>
      <c r="C13" s="5">
        <f t="shared" si="0"/>
        <v>33046.452209232652</v>
      </c>
      <c r="D13" s="5">
        <f>MIN(B13,B13/25)</f>
        <v>129910.21490583014</v>
      </c>
      <c r="E13" s="5">
        <f t="shared" si="1"/>
        <v>13532.314052690639</v>
      </c>
      <c r="F13" s="5">
        <f>IF(12&lt;=RecLag,0,INDEX(Port_Defaults,12-RecLag)*RecoveryRate)</f>
        <v>9285.2372206144519</v>
      </c>
      <c r="G13" s="5">
        <f t="shared" si="2"/>
        <v>8119.388431614384</v>
      </c>
      <c r="H13" s="5">
        <f t="shared" si="3"/>
        <v>1722.4190433567726</v>
      </c>
      <c r="I13" s="5">
        <f t="shared" si="4"/>
        <v>148867.78280801544</v>
      </c>
      <c r="J13" s="5">
        <f t="shared" si="5"/>
        <v>3096193.4552556183</v>
      </c>
    </row>
    <row r="14" spans="1:10" x14ac:dyDescent="0.35">
      <c r="A14">
        <v>13</v>
      </c>
      <c r="B14" s="5">
        <f t="shared" si="6"/>
        <v>3096193.4552556183</v>
      </c>
      <c r="C14" s="5">
        <f t="shared" si="0"/>
        <v>31504.284439468462</v>
      </c>
      <c r="D14" s="5">
        <f>MIN(B14,B14/24)</f>
        <v>129008.06063565076</v>
      </c>
      <c r="E14" s="5">
        <f t="shared" si="1"/>
        <v>12900.806063565076</v>
      </c>
      <c r="F14" s="5">
        <f>IF(13&lt;=RecLag,0,INDEX(Port_Defaults,13-RecLag)*RecoveryRate)</f>
        <v>8891.7200241217452</v>
      </c>
      <c r="G14" s="5">
        <f t="shared" si="2"/>
        <v>7740.483638139046</v>
      </c>
      <c r="H14" s="5">
        <f t="shared" si="3"/>
        <v>1694.0406509924098</v>
      </c>
      <c r="I14" s="5">
        <f t="shared" si="4"/>
        <v>147068.73474654445</v>
      </c>
      <c r="J14" s="5">
        <f t="shared" si="5"/>
        <v>2946544.1049182634</v>
      </c>
    </row>
    <row r="15" spans="1:10" x14ac:dyDescent="0.35">
      <c r="A15">
        <v>14</v>
      </c>
      <c r="B15" s="5">
        <f t="shared" si="6"/>
        <v>2946544.1049182634</v>
      </c>
      <c r="C15" s="5">
        <f t="shared" si="0"/>
        <v>29981.577358227485</v>
      </c>
      <c r="D15" s="5">
        <f>MIN(B15,B15/23)</f>
        <v>128110.6132573158</v>
      </c>
      <c r="E15" s="5">
        <f t="shared" si="1"/>
        <v>12277.267103826098</v>
      </c>
      <c r="F15" s="5">
        <f>IF(14&lt;=RecLag,0,INDEX(Port_Defaults,14-RecLag)*RecoveryRate)</f>
        <v>8503.1189267712398</v>
      </c>
      <c r="G15" s="5">
        <f t="shared" si="2"/>
        <v>7366.3602622956587</v>
      </c>
      <c r="H15" s="5">
        <f t="shared" si="3"/>
        <v>1665.9530954231452</v>
      </c>
      <c r="I15" s="5">
        <f t="shared" si="4"/>
        <v>145285.72908076961</v>
      </c>
      <c r="J15" s="5">
        <f t="shared" si="5"/>
        <v>2798789.8642948261</v>
      </c>
    </row>
    <row r="16" spans="1:10" x14ac:dyDescent="0.35">
      <c r="A16">
        <v>15</v>
      </c>
      <c r="B16" s="5">
        <f t="shared" si="6"/>
        <v>2798789.8642948261</v>
      </c>
      <c r="C16" s="5">
        <f t="shared" si="0"/>
        <v>28478.153334177241</v>
      </c>
      <c r="D16" s="5">
        <f>MIN(B16,B16/22)</f>
        <v>127217.72110431027</v>
      </c>
      <c r="E16" s="5">
        <f t="shared" si="1"/>
        <v>11661.624434561774</v>
      </c>
      <c r="F16" s="5">
        <f>IF(15&lt;=RecLag,0,INDEX(Port_Defaults,15-RecLag)*RecoveryRate)</f>
        <v>8119.3884316143831</v>
      </c>
      <c r="G16" s="5">
        <f t="shared" si="2"/>
        <v>6996.9746607370653</v>
      </c>
      <c r="H16" s="5">
        <f t="shared" si="3"/>
        <v>1638.152628701019</v>
      </c>
      <c r="I16" s="5">
        <f t="shared" si="4"/>
        <v>143518.51114610207</v>
      </c>
      <c r="J16" s="5">
        <f t="shared" si="5"/>
        <v>2652913.5440952168</v>
      </c>
    </row>
    <row r="17" spans="1:10" x14ac:dyDescent="0.35">
      <c r="A17">
        <v>16</v>
      </c>
      <c r="B17" s="5">
        <f t="shared" si="6"/>
        <v>2652913.5440952168</v>
      </c>
      <c r="C17" s="5">
        <f t="shared" si="0"/>
        <v>26993.837463426182</v>
      </c>
      <c r="D17" s="5">
        <f>MIN(B17,B17/21)</f>
        <v>126329.21638548651</v>
      </c>
      <c r="E17" s="5">
        <f t="shared" si="1"/>
        <v>11053.806433730069</v>
      </c>
      <c r="F17" s="5">
        <f>IF(16&lt;=RecLag,0,INDEX(Port_Defaults,16-RecLag)*RecoveryRate)</f>
        <v>7740.4836381390451</v>
      </c>
      <c r="G17" s="5">
        <f t="shared" si="2"/>
        <v>6632.2838602380425</v>
      </c>
      <c r="H17" s="5">
        <f t="shared" si="3"/>
        <v>1610.6353748705171</v>
      </c>
      <c r="I17" s="5">
        <f t="shared" si="4"/>
        <v>141766.81181821309</v>
      </c>
      <c r="J17" s="5">
        <f t="shared" si="5"/>
        <v>2508898.2374157622</v>
      </c>
    </row>
    <row r="18" spans="1:10" x14ac:dyDescent="0.35">
      <c r="A18">
        <v>17</v>
      </c>
      <c r="B18" s="5">
        <f t="shared" si="6"/>
        <v>2508898.2374157622</v>
      </c>
      <c r="C18" s="5">
        <f t="shared" si="0"/>
        <v>25528.457715411616</v>
      </c>
      <c r="D18" s="5">
        <f>MIN(B18,B18/20)</f>
        <v>125444.91187078811</v>
      </c>
      <c r="E18" s="5">
        <f t="shared" si="1"/>
        <v>10453.742655899008</v>
      </c>
      <c r="F18" s="5">
        <f>IF(17&lt;=RecLag,0,INDEX(Port_Defaults,17-RecLag)*RecoveryRate)</f>
        <v>7366.3602622956587</v>
      </c>
      <c r="G18" s="5">
        <f t="shared" si="2"/>
        <v>6272.2455935394055</v>
      </c>
      <c r="H18" s="5">
        <f t="shared" si="3"/>
        <v>1583.397298484954</v>
      </c>
      <c r="I18" s="5">
        <f t="shared" si="4"/>
        <v>140030.34430057203</v>
      </c>
      <c r="J18" s="5">
        <f t="shared" si="5"/>
        <v>2366727.3372955355</v>
      </c>
    </row>
    <row r="19" spans="1:10" x14ac:dyDescent="0.35">
      <c r="A19">
        <v>18</v>
      </c>
      <c r="B19" s="5">
        <f t="shared" si="6"/>
        <v>2366727.3372955355</v>
      </c>
      <c r="C19" s="5">
        <f t="shared" si="0"/>
        <v>24081.845111538292</v>
      </c>
      <c r="D19" s="5">
        <f>MIN(B19,B19/19)</f>
        <v>124564.59669976502</v>
      </c>
      <c r="E19" s="5">
        <f t="shared" si="1"/>
        <v>9861.3639053980642</v>
      </c>
      <c r="F19" s="5">
        <f>IF(18&lt;=RecLag,0,INDEX(Port_Defaults,18-RecLag)*RecoveryRate)</f>
        <v>6996.9746607370644</v>
      </c>
      <c r="G19" s="5">
        <f t="shared" si="2"/>
        <v>5916.8183432388387</v>
      </c>
      <c r="H19" s="5">
        <f t="shared" si="3"/>
        <v>1556.4341647204037</v>
      </c>
      <c r="I19" s="5">
        <f t="shared" si="4"/>
        <v>138308.80005868306</v>
      </c>
      <c r="J19" s="5">
        <f t="shared" si="5"/>
        <v>2226384.5583471335</v>
      </c>
    </row>
    <row r="20" spans="1:10" x14ac:dyDescent="0.35">
      <c r="A20">
        <v>19</v>
      </c>
      <c r="B20" s="5">
        <f t="shared" si="6"/>
        <v>2226384.5583471335</v>
      </c>
      <c r="C20" s="5">
        <f t="shared" si="0"/>
        <v>22653.833945275139</v>
      </c>
      <c r="D20" s="5">
        <f>MIN(B20,B20/18)</f>
        <v>123688.03101928519</v>
      </c>
      <c r="E20" s="5">
        <f t="shared" si="1"/>
        <v>9276.6023264463893</v>
      </c>
      <c r="F20" s="5">
        <f>IF(19&lt;=RecLag,0,INDEX(Port_Defaults,19-RecLag)*RecoveryRate)</f>
        <v>6632.2838602380416</v>
      </c>
      <c r="G20" s="5">
        <f t="shared" si="2"/>
        <v>5565.9613958678337</v>
      </c>
      <c r="H20" s="5">
        <f t="shared" si="3"/>
        <v>1529.7414882479836</v>
      </c>
      <c r="I20" s="5">
        <f t="shared" si="4"/>
        <v>136601.84361423613</v>
      </c>
      <c r="J20" s="5">
        <f t="shared" si="5"/>
        <v>2087853.9636055341</v>
      </c>
    </row>
    <row r="21" spans="1:10" x14ac:dyDescent="0.35">
      <c r="A21">
        <v>20</v>
      </c>
      <c r="B21" s="5">
        <f t="shared" si="6"/>
        <v>2087853.9636055341</v>
      </c>
      <c r="C21" s="5">
        <f t="shared" si="0"/>
        <v>21244.26205534691</v>
      </c>
      <c r="D21" s="5">
        <f>MIN(B21,B21/17)</f>
        <v>122814.93903561965</v>
      </c>
      <c r="E21" s="5">
        <f t="shared" si="1"/>
        <v>8699.3915150230587</v>
      </c>
      <c r="F21" s="5">
        <f>IF(20&lt;=RecLag,0,INDEX(Port_Defaults,20-RecLag)*RecoveryRate)</f>
        <v>6272.2455935394046</v>
      </c>
      <c r="G21" s="5">
        <f t="shared" si="2"/>
        <v>5219.6349090138356</v>
      </c>
      <c r="H21" s="5">
        <f t="shared" si="3"/>
        <v>1503.3144668450598</v>
      </c>
      <c r="I21" s="5">
        <f t="shared" si="4"/>
        <v>134909.10579362401</v>
      </c>
      <c r="J21" s="5">
        <f t="shared" si="5"/>
        <v>1951119.9981458774</v>
      </c>
    </row>
    <row r="22" spans="1:10" x14ac:dyDescent="0.35">
      <c r="A22">
        <v>21</v>
      </c>
      <c r="B22" s="5">
        <f t="shared" si="6"/>
        <v>1951119.9981458774</v>
      </c>
      <c r="C22" s="5">
        <f t="shared" si="0"/>
        <v>19852.971167800661</v>
      </c>
      <c r="D22" s="5">
        <f>MIN(B22,B22/16)</f>
        <v>121944.99988411734</v>
      </c>
      <c r="E22" s="5">
        <f t="shared" si="1"/>
        <v>8129.6666589411552</v>
      </c>
      <c r="F22" s="5">
        <f>IF(21&lt;=RecLag,0,INDEX(Port_Defaults,21-RecLag)*RecoveryRate)</f>
        <v>5916.8183432388387</v>
      </c>
      <c r="G22" s="5">
        <f t="shared" si="2"/>
        <v>4877.7999953646931</v>
      </c>
      <c r="H22" s="5">
        <f t="shared" si="3"/>
        <v>1477.1478939515684</v>
      </c>
      <c r="I22" s="5">
        <f t="shared" si="4"/>
        <v>133230.17484689943</v>
      </c>
      <c r="J22" s="5">
        <f t="shared" si="5"/>
        <v>1816167.5316074542</v>
      </c>
    </row>
    <row r="23" spans="1:10" x14ac:dyDescent="0.35">
      <c r="A23">
        <v>22</v>
      </c>
      <c r="B23" s="5">
        <f t="shared" si="6"/>
        <v>1816167.5316074542</v>
      </c>
      <c r="C23" s="5">
        <f t="shared" si="0"/>
        <v>18479.807328694445</v>
      </c>
      <c r="D23" s="5">
        <f>MIN(B23,B23/15)</f>
        <v>121077.83544049694</v>
      </c>
      <c r="E23" s="5">
        <f t="shared" si="1"/>
        <v>7567.3647150310589</v>
      </c>
      <c r="F23" s="5">
        <f>IF(22&lt;=RecLag,0,INDEX(Port_Defaults,22-RecLag)*RecoveryRate)</f>
        <v>5565.9613958678337</v>
      </c>
      <c r="G23" s="5">
        <f t="shared" si="2"/>
        <v>4540.4188290186357</v>
      </c>
      <c r="H23" s="5">
        <f t="shared" si="3"/>
        <v>1451.2360416505924</v>
      </c>
      <c r="I23" s="5">
        <f t="shared" si="4"/>
        <v>131564.58457935895</v>
      </c>
      <c r="J23" s="5">
        <f t="shared" si="5"/>
        <v>1682981.9126229077</v>
      </c>
    </row>
    <row r="24" spans="1:10" x14ac:dyDescent="0.35">
      <c r="A24">
        <v>23</v>
      </c>
      <c r="B24" s="5">
        <f t="shared" si="6"/>
        <v>1682981.9126229077</v>
      </c>
      <c r="C24" s="5">
        <f t="shared" si="0"/>
        <v>17124.621457923524</v>
      </c>
      <c r="D24" s="5">
        <f>MIN(B24,B24/14)</f>
        <v>120212.99375877912</v>
      </c>
      <c r="E24" s="5">
        <f t="shared" si="1"/>
        <v>7012.4246359287818</v>
      </c>
      <c r="F24" s="5">
        <f>IF(23&lt;=RecLag,0,INDEX(Port_Defaults,23-RecLag)*RecoveryRate)</f>
        <v>5219.6349090138347</v>
      </c>
      <c r="G24" s="5">
        <f t="shared" si="2"/>
        <v>4207.4547815572696</v>
      </c>
      <c r="H24" s="5">
        <f t="shared" si="3"/>
        <v>1425.5725012571647</v>
      </c>
      <c r="I24" s="5">
        <f t="shared" si="4"/>
        <v>129911.79820697325</v>
      </c>
      <c r="J24" s="5">
        <f t="shared" si="5"/>
        <v>1551549.0394466426</v>
      </c>
    </row>
    <row r="25" spans="1:10" x14ac:dyDescent="0.35">
      <c r="A25">
        <v>24</v>
      </c>
      <c r="B25" s="5">
        <f t="shared" si="6"/>
        <v>1551549.0394466426</v>
      </c>
      <c r="C25" s="5">
        <f t="shared" si="0"/>
        <v>15787.270067876163</v>
      </c>
      <c r="D25" s="5">
        <f>MIN(B25,B25/13)</f>
        <v>119349.92611128021</v>
      </c>
      <c r="E25" s="5">
        <f t="shared" si="1"/>
        <v>6464.7876643610107</v>
      </c>
      <c r="F25" s="5">
        <f>IF(24&lt;=RecLag,0,INDEX(Port_Defaults,24-RecLag)*RecoveryRate)</f>
        <v>4877.7999953646931</v>
      </c>
      <c r="G25" s="5">
        <f t="shared" si="2"/>
        <v>3878.8725986166064</v>
      </c>
      <c r="H25" s="5">
        <f t="shared" si="3"/>
        <v>1400.1499617452105</v>
      </c>
      <c r="I25" s="5">
        <f t="shared" si="4"/>
        <v>128271.18594979822</v>
      </c>
      <c r="J25" s="5">
        <f t="shared" si="5"/>
        <v>1421855.4530723847</v>
      </c>
    </row>
    <row r="26" spans="1:10" x14ac:dyDescent="0.35">
      <c r="A26">
        <v>25</v>
      </c>
      <c r="B26" s="5">
        <f t="shared" si="6"/>
        <v>1421855.4530723847</v>
      </c>
      <c r="C26" s="5">
        <f t="shared" si="0"/>
        <v>14467.61621092036</v>
      </c>
      <c r="D26" s="5">
        <f>MIN(B26,B26/12)</f>
        <v>118487.95442269872</v>
      </c>
      <c r="E26" s="5">
        <f t="shared" si="1"/>
        <v>5924.3977211349365</v>
      </c>
      <c r="F26" s="5">
        <f>IF(25&lt;=RecLag,0,INDEX(Port_Defaults,25-RecLag)*RecoveryRate)</f>
        <v>4540.4188290186348</v>
      </c>
      <c r="G26" s="5">
        <f t="shared" si="2"/>
        <v>3554.638632680962</v>
      </c>
      <c r="H26" s="5">
        <f t="shared" si="3"/>
        <v>1374.9598946263773</v>
      </c>
      <c r="I26" s="5">
        <f t="shared" si="4"/>
        <v>126641.99321419545</v>
      </c>
      <c r="J26" s="5">
        <f t="shared" si="5"/>
        <v>1293888.4622958701</v>
      </c>
    </row>
    <row r="27" spans="1:10" x14ac:dyDescent="0.35">
      <c r="A27">
        <v>26</v>
      </c>
      <c r="B27" s="5">
        <f t="shared" si="6"/>
        <v>1293888.4622958701</v>
      </c>
      <c r="C27" s="5">
        <f t="shared" si="0"/>
        <v>13165.530751937527</v>
      </c>
      <c r="D27" s="5">
        <f>MIN(B27,B27/11)</f>
        <v>117626.22384507909</v>
      </c>
      <c r="E27" s="5">
        <f t="shared" si="1"/>
        <v>5391.2019262327922</v>
      </c>
      <c r="F27" s="5">
        <f>IF(26&lt;=RecLag,0,INDEX(Port_Defaults,26-RecLag)*RecoveryRate)</f>
        <v>4207.4547815572687</v>
      </c>
      <c r="G27" s="5">
        <f t="shared" si="2"/>
        <v>3234.7211557396754</v>
      </c>
      <c r="H27" s="5">
        <f t="shared" si="3"/>
        <v>1349.9920937857387</v>
      </c>
      <c r="I27" s="5">
        <f t="shared" si="4"/>
        <v>125023.29420281565</v>
      </c>
      <c r="J27" s="5">
        <f t="shared" si="5"/>
        <v>1167636.3153688186</v>
      </c>
    </row>
    <row r="28" spans="1:10" x14ac:dyDescent="0.35">
      <c r="A28">
        <v>27</v>
      </c>
      <c r="B28" s="5">
        <f t="shared" si="6"/>
        <v>1167636.3153688186</v>
      </c>
      <c r="C28" s="5">
        <f t="shared" si="0"/>
        <v>11880.894114930292</v>
      </c>
      <c r="D28" s="5">
        <f>MIN(B28,B28/10)</f>
        <v>116763.63153688186</v>
      </c>
      <c r="E28" s="5">
        <f t="shared" si="1"/>
        <v>4865.1513140367442</v>
      </c>
      <c r="F28" s="5">
        <f>IF(27&lt;=RecLag,0,INDEX(Port_Defaults,27-RecLag)*RecoveryRate)</f>
        <v>3878.8725986166064</v>
      </c>
      <c r="G28" s="5">
        <f t="shared" si="2"/>
        <v>2919.0907884220464</v>
      </c>
      <c r="H28" s="5">
        <f t="shared" si="3"/>
        <v>1325.2339825042875</v>
      </c>
      <c r="I28" s="5">
        <f t="shared" si="4"/>
        <v>123413.92216546567</v>
      </c>
      <c r="J28" s="5">
        <f t="shared" si="5"/>
        <v>1043088.441729478</v>
      </c>
    </row>
    <row r="29" spans="1:10" x14ac:dyDescent="0.35">
      <c r="A29">
        <v>28</v>
      </c>
      <c r="B29" s="5">
        <f t="shared" si="6"/>
        <v>1043088.441729478</v>
      </c>
      <c r="C29" s="5">
        <f t="shared" si="0"/>
        <v>10613.59874267106</v>
      </c>
      <c r="D29" s="5">
        <f>MIN(B29,B29/9)</f>
        <v>115898.71574771978</v>
      </c>
      <c r="E29" s="5">
        <f t="shared" si="1"/>
        <v>4346.2018405394911</v>
      </c>
      <c r="F29" s="5">
        <f>IF(28&lt;=RecLag,0,INDEX(Port_Defaults,28-RecLag)*RecoveryRate)</f>
        <v>3554.638632680962</v>
      </c>
      <c r="G29" s="5">
        <f t="shared" si="2"/>
        <v>2607.7211043236948</v>
      </c>
      <c r="H29" s="5">
        <f t="shared" si="3"/>
        <v>1300.6695312307181</v>
      </c>
      <c r="I29" s="5">
        <f t="shared" si="4"/>
        <v>121812.3606469779</v>
      </c>
      <c r="J29" s="5">
        <f t="shared" si="5"/>
        <v>920235.803036895</v>
      </c>
    </row>
    <row r="30" spans="1:10" x14ac:dyDescent="0.35">
      <c r="A30">
        <v>29</v>
      </c>
      <c r="B30" s="5">
        <f t="shared" si="6"/>
        <v>920235.803036895</v>
      </c>
      <c r="C30" s="5">
        <f t="shared" si="0"/>
        <v>9363.5526685342465</v>
      </c>
      <c r="D30" s="5">
        <f>MIN(B30,B30/8)</f>
        <v>115029.47537961187</v>
      </c>
      <c r="E30" s="5">
        <f t="shared" si="1"/>
        <v>3834.3158459870624</v>
      </c>
      <c r="F30" s="5">
        <f>IF(29&lt;=RecLag,0,INDEX(Port_Defaults,29-RecLag)*RecoveryRate)</f>
        <v>3234.7211557396754</v>
      </c>
      <c r="G30" s="5">
        <f t="shared" si="2"/>
        <v>2300.5895075922376</v>
      </c>
      <c r="H30" s="5">
        <f t="shared" si="3"/>
        <v>1276.2774920388581</v>
      </c>
      <c r="I30" s="5">
        <f t="shared" si="4"/>
        <v>120216.56635826765</v>
      </c>
      <c r="J30" s="5">
        <f t="shared" si="5"/>
        <v>799071.42230370385</v>
      </c>
    </row>
    <row r="31" spans="1:10" x14ac:dyDescent="0.35">
      <c r="A31">
        <v>30</v>
      </c>
      <c r="B31" s="5">
        <f t="shared" si="6"/>
        <v>799071.42230370385</v>
      </c>
      <c r="C31" s="5">
        <f t="shared" si="0"/>
        <v>8130.6849005105714</v>
      </c>
      <c r="D31" s="5">
        <f>MIN(B31,B31/7)</f>
        <v>114153.06032910055</v>
      </c>
      <c r="E31" s="5">
        <f t="shared" si="1"/>
        <v>3329.4642595987661</v>
      </c>
      <c r="F31" s="5">
        <f>IF(30&lt;=RecLag,0,INDEX(Port_Defaults,30-RecLag)*RecoveryRate)</f>
        <v>2919.0907884220464</v>
      </c>
      <c r="G31" s="5">
        <f t="shared" si="2"/>
        <v>1997.6785557592596</v>
      </c>
      <c r="H31" s="5">
        <f t="shared" si="3"/>
        <v>1252.0283601803319</v>
      </c>
      <c r="I31" s="5">
        <f t="shared" si="4"/>
        <v>118623.66484249481</v>
      </c>
      <c r="J31" s="5">
        <f t="shared" si="5"/>
        <v>679591.21915924526</v>
      </c>
    </row>
    <row r="32" spans="1:10" x14ac:dyDescent="0.35">
      <c r="A32">
        <v>31</v>
      </c>
      <c r="B32" s="5">
        <f t="shared" si="6"/>
        <v>679591.21915924526</v>
      </c>
      <c r="C32" s="5">
        <f t="shared" si="0"/>
        <v>6914.953920148514</v>
      </c>
      <c r="D32" s="5">
        <f>MIN(B32,B32/6)</f>
        <v>113265.20319320755</v>
      </c>
      <c r="E32" s="5">
        <f t="shared" si="1"/>
        <v>2831.6300798301886</v>
      </c>
      <c r="F32" s="5">
        <f>IF(31&lt;=RecLag,0,INDEX(Port_Defaults,31-RecLag)*RecoveryRate)</f>
        <v>2607.7211043236944</v>
      </c>
      <c r="G32" s="5">
        <f t="shared" si="2"/>
        <v>1698.9780478981131</v>
      </c>
      <c r="H32" s="5">
        <f t="shared" si="3"/>
        <v>1227.8787821767976</v>
      </c>
      <c r="I32" s="5">
        <f t="shared" si="4"/>
        <v>117029.39130777467</v>
      </c>
      <c r="J32" s="5">
        <f t="shared" si="5"/>
        <v>561795.40783830942</v>
      </c>
    </row>
    <row r="33" spans="1:10" x14ac:dyDescent="0.35">
      <c r="A33">
        <v>32</v>
      </c>
      <c r="B33" s="5">
        <f t="shared" si="6"/>
        <v>561795.40783830942</v>
      </c>
      <c r="C33" s="5">
        <f t="shared" si="0"/>
        <v>5716.361907322771</v>
      </c>
      <c r="D33" s="5">
        <f>MIN(B33,B33/5)</f>
        <v>112359.08156766188</v>
      </c>
      <c r="E33" s="5">
        <f t="shared" si="1"/>
        <v>2340.8141993262893</v>
      </c>
      <c r="F33" s="5">
        <f>IF(32&lt;=RecLag,0,INDEX(Port_Defaults,32-RecLag)*RecoveryRate)</f>
        <v>2300.5895075922372</v>
      </c>
      <c r="G33" s="5">
        <f t="shared" si="2"/>
        <v>1404.4885195957736</v>
      </c>
      <c r="H33" s="5">
        <f t="shared" si="3"/>
        <v>1203.7603298257688</v>
      </c>
      <c r="I33" s="5">
        <f t="shared" si="4"/>
        <v>115426.96993382905</v>
      </c>
      <c r="J33" s="5">
        <f t="shared" si="5"/>
        <v>445691.02355172549</v>
      </c>
    </row>
    <row r="34" spans="1:10" x14ac:dyDescent="0.35">
      <c r="A34">
        <v>33</v>
      </c>
      <c r="B34" s="5">
        <f t="shared" si="6"/>
        <v>445691.02355172549</v>
      </c>
      <c r="C34" s="5">
        <f t="shared" si="0"/>
        <v>4534.9804464760655</v>
      </c>
      <c r="D34" s="5">
        <f>MIN(B34,B34/4)</f>
        <v>111422.75588793137</v>
      </c>
      <c r="E34" s="5">
        <f t="shared" si="1"/>
        <v>1857.0459314655229</v>
      </c>
      <c r="F34" s="5">
        <f>IF(33&lt;=RecLag,0,INDEX(Port_Defaults,33-RecLag)*RecoveryRate)</f>
        <v>1997.6785557592596</v>
      </c>
      <c r="G34" s="5">
        <f t="shared" si="2"/>
        <v>1114.2275588793138</v>
      </c>
      <c r="H34" s="5">
        <f t="shared" si="3"/>
        <v>1179.5541489016671</v>
      </c>
      <c r="I34" s="5">
        <f t="shared" si="4"/>
        <v>113804.58725092022</v>
      </c>
      <c r="J34" s="5">
        <f t="shared" si="5"/>
        <v>331296.99417344929</v>
      </c>
    </row>
    <row r="35" spans="1:10" x14ac:dyDescent="0.35">
      <c r="A35">
        <v>34</v>
      </c>
      <c r="B35" s="5">
        <f t="shared" si="6"/>
        <v>331296.99417344929</v>
      </c>
      <c r="C35" s="5">
        <f t="shared" si="0"/>
        <v>3371.0021318805425</v>
      </c>
      <c r="D35" s="5">
        <f>MIN(B35,B35/3)</f>
        <v>110432.33139114977</v>
      </c>
      <c r="E35" s="5">
        <f t="shared" si="1"/>
        <v>1380.4041423893721</v>
      </c>
      <c r="F35" s="5">
        <f>IF(34&lt;=RecLag,0,INDEX(Port_Defaults,34-RecLag)*RecoveryRate)</f>
        <v>1698.9780478981131</v>
      </c>
      <c r="G35" s="5">
        <f t="shared" si="2"/>
        <v>828.24248543362319</v>
      </c>
      <c r="H35" s="5">
        <f t="shared" si="3"/>
        <v>1155.0231157092842</v>
      </c>
      <c r="I35" s="5">
        <f t="shared" si="4"/>
        <v>112138.64182739615</v>
      </c>
      <c r="J35" s="5">
        <f t="shared" si="5"/>
        <v>218656.01615447653</v>
      </c>
    </row>
    <row r="36" spans="1:10" x14ac:dyDescent="0.35">
      <c r="A36">
        <v>35</v>
      </c>
      <c r="B36" s="5">
        <f t="shared" si="6"/>
        <v>218656.01615447653</v>
      </c>
      <c r="C36" s="5">
        <f t="shared" si="0"/>
        <v>2224.8614070411577</v>
      </c>
      <c r="D36" s="5">
        <f>MIN(B36,B36/2)</f>
        <v>109328.00807723826</v>
      </c>
      <c r="E36" s="5">
        <f t="shared" si="1"/>
        <v>911.06673397698557</v>
      </c>
      <c r="F36" s="5">
        <f>IF(35&lt;=RecLag,0,INDEX(Port_Defaults,35-RecLag)*RecoveryRate)</f>
        <v>1404.4885195957736</v>
      </c>
      <c r="G36" s="5">
        <f t="shared" si="2"/>
        <v>546.64004038619134</v>
      </c>
      <c r="H36" s="5">
        <f t="shared" si="3"/>
        <v>1129.573580038752</v>
      </c>
      <c r="I36" s="5">
        <f t="shared" si="4"/>
        <v>110370.07764947327</v>
      </c>
      <c r="J36" s="5">
        <f t="shared" si="5"/>
        <v>107870.30130287509</v>
      </c>
    </row>
    <row r="37" spans="1:10" x14ac:dyDescent="0.35">
      <c r="A37">
        <v>36</v>
      </c>
      <c r="B37" s="5">
        <f t="shared" si="6"/>
        <v>107870.30130287509</v>
      </c>
      <c r="C37" s="5">
        <f t="shared" si="0"/>
        <v>1097.5982941403045</v>
      </c>
      <c r="D37" s="5">
        <f>MIN(B37,B37/1)</f>
        <v>107870.30130287509</v>
      </c>
      <c r="E37" s="5">
        <f t="shared" si="1"/>
        <v>449.45958876197955</v>
      </c>
      <c r="F37" s="5">
        <f>IF(36&lt;=RecLag,0,INDEX(Port_Defaults,36-RecLag)*RecoveryRate)</f>
        <v>1114.2275588793136</v>
      </c>
      <c r="G37" s="5">
        <f t="shared" si="2"/>
        <v>269.67575325718769</v>
      </c>
      <c r="H37" s="5">
        <f t="shared" si="3"/>
        <v>1100.821271558947</v>
      </c>
      <c r="I37" s="5">
        <f t="shared" si="4"/>
        <v>108262.17054231658</v>
      </c>
      <c r="J37" s="5">
        <f t="shared" si="5"/>
        <v>-719.13534201917355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7"/>
  <sheetViews>
    <sheetView workbookViewId="0"/>
  </sheetViews>
  <sheetFormatPr defaultRowHeight="14.5" x14ac:dyDescent="0.35"/>
  <cols>
    <col min="1" max="14" width="16.7265625" customWidth="1"/>
  </cols>
  <sheetData>
    <row r="1" spans="1:14" x14ac:dyDescent="0.35">
      <c r="A1" s="2" t="s">
        <v>193</v>
      </c>
      <c r="B1" s="2" t="s">
        <v>201</v>
      </c>
      <c r="C1" s="2" t="s">
        <v>203</v>
      </c>
      <c r="D1" s="2" t="s">
        <v>204</v>
      </c>
      <c r="E1" s="2" t="s">
        <v>205</v>
      </c>
      <c r="F1" s="2" t="s">
        <v>206</v>
      </c>
      <c r="G1" s="2" t="s">
        <v>207</v>
      </c>
      <c r="H1" s="2" t="s">
        <v>208</v>
      </c>
      <c r="I1" s="2" t="s">
        <v>209</v>
      </c>
      <c r="J1" s="2" t="s">
        <v>210</v>
      </c>
      <c r="K1" s="2" t="s">
        <v>211</v>
      </c>
      <c r="L1" s="2" t="s">
        <v>212</v>
      </c>
      <c r="M1" s="2" t="s">
        <v>213</v>
      </c>
      <c r="N1" s="2" t="s">
        <v>214</v>
      </c>
    </row>
    <row r="2" spans="1:14" x14ac:dyDescent="0.35">
      <c r="A2">
        <v>1</v>
      </c>
      <c r="B2" s="5">
        <f>Portfolio_CF!I2</f>
        <v>155967.81478933335</v>
      </c>
      <c r="C2" s="5">
        <f>Sr_Notes</f>
        <v>3355856</v>
      </c>
      <c r="D2" s="5">
        <f>Mz_Notes</f>
        <v>958816</v>
      </c>
      <c r="E2" s="5">
        <v>0</v>
      </c>
      <c r="F2" s="5">
        <f t="shared" ref="F2:F37" si="0">C2*(SeniorRate/12)</f>
        <v>16779.28</v>
      </c>
      <c r="G2" s="5">
        <f t="shared" ref="G2:G37" si="1">D2*(MezzRate/12)</f>
        <v>7191.12</v>
      </c>
      <c r="H2" s="5">
        <f t="shared" ref="H2:H37" si="2">MAX(0, MIN(C2, B2-F2-G2))</f>
        <v>131997.41478933336</v>
      </c>
      <c r="I2" s="5">
        <f t="shared" ref="I2:I37" si="3">MAX(0, MIN(D2, B2-F2-G2-H2))</f>
        <v>0</v>
      </c>
      <c r="J2" s="5">
        <v>0</v>
      </c>
      <c r="K2" s="5">
        <f t="shared" ref="K2:K37" si="4">MAX(0, B2-F2-G2-H2-I2-J2)</f>
        <v>0</v>
      </c>
      <c r="L2" s="5">
        <f t="shared" ref="L2:L37" si="5">C2-H2</f>
        <v>3223858.5852106665</v>
      </c>
      <c r="M2" s="5">
        <f t="shared" ref="M2:M37" si="6">D2-I2</f>
        <v>958816</v>
      </c>
      <c r="N2" s="5">
        <f t="shared" ref="N2:N37" si="7">K2</f>
        <v>0</v>
      </c>
    </row>
    <row r="3" spans="1:14" x14ac:dyDescent="0.35">
      <c r="A3">
        <v>2</v>
      </c>
      <c r="B3" s="5">
        <f>Portfolio_CF!I3</f>
        <v>154424.04542278012</v>
      </c>
      <c r="C3" s="5">
        <f t="shared" ref="C3:C37" si="8">L2</f>
        <v>3223858.5852106665</v>
      </c>
      <c r="D3" s="5">
        <f t="shared" ref="D3:D37" si="9">M2</f>
        <v>958816</v>
      </c>
      <c r="E3" s="5">
        <v>0</v>
      </c>
      <c r="F3" s="5">
        <f t="shared" si="0"/>
        <v>16119.292926053333</v>
      </c>
      <c r="G3" s="5">
        <f t="shared" si="1"/>
        <v>7191.12</v>
      </c>
      <c r="H3" s="5">
        <f t="shared" si="2"/>
        <v>131113.63249672679</v>
      </c>
      <c r="I3" s="5">
        <f t="shared" si="3"/>
        <v>0</v>
      </c>
      <c r="J3" s="5">
        <v>0</v>
      </c>
      <c r="K3" s="5">
        <f t="shared" si="4"/>
        <v>0</v>
      </c>
      <c r="L3" s="5">
        <f t="shared" si="5"/>
        <v>3092744.9527139398</v>
      </c>
      <c r="M3" s="5">
        <f t="shared" si="6"/>
        <v>958816</v>
      </c>
      <c r="N3" s="5">
        <f t="shared" si="7"/>
        <v>0</v>
      </c>
    </row>
    <row r="4" spans="1:14" x14ac:dyDescent="0.35">
      <c r="A4">
        <v>3</v>
      </c>
      <c r="B4" s="5">
        <f>Portfolio_CF!I4</f>
        <v>152893.25161638955</v>
      </c>
      <c r="C4" s="5">
        <f t="shared" si="8"/>
        <v>3092744.9527139398</v>
      </c>
      <c r="D4" s="5">
        <f t="shared" si="9"/>
        <v>958816</v>
      </c>
      <c r="E4" s="5">
        <v>0</v>
      </c>
      <c r="F4" s="5">
        <f t="shared" si="0"/>
        <v>15463.724763569699</v>
      </c>
      <c r="G4" s="5">
        <f t="shared" si="1"/>
        <v>7191.12</v>
      </c>
      <c r="H4" s="5">
        <f t="shared" si="2"/>
        <v>130238.40685281984</v>
      </c>
      <c r="I4" s="5">
        <f t="shared" si="3"/>
        <v>0</v>
      </c>
      <c r="J4" s="5">
        <v>0</v>
      </c>
      <c r="K4" s="5">
        <f t="shared" si="4"/>
        <v>0</v>
      </c>
      <c r="L4" s="5">
        <f t="shared" si="5"/>
        <v>2962506.5458611199</v>
      </c>
      <c r="M4" s="5">
        <f t="shared" si="6"/>
        <v>958816</v>
      </c>
      <c r="N4" s="5">
        <f t="shared" si="7"/>
        <v>0</v>
      </c>
    </row>
    <row r="5" spans="1:14" x14ac:dyDescent="0.35">
      <c r="A5">
        <v>4</v>
      </c>
      <c r="B5" s="5">
        <f>Portfolio_CF!I5</f>
        <v>163865.13009643948</v>
      </c>
      <c r="C5" s="5">
        <f t="shared" si="8"/>
        <v>2962506.5458611199</v>
      </c>
      <c r="D5" s="5">
        <f t="shared" si="9"/>
        <v>958816</v>
      </c>
      <c r="E5" s="5">
        <v>0</v>
      </c>
      <c r="F5" s="5">
        <f t="shared" si="0"/>
        <v>14812.5327293056</v>
      </c>
      <c r="G5" s="5">
        <f t="shared" si="1"/>
        <v>7191.12</v>
      </c>
      <c r="H5" s="5">
        <f t="shared" si="2"/>
        <v>141861.47736713389</v>
      </c>
      <c r="I5" s="5">
        <f t="shared" si="3"/>
        <v>0</v>
      </c>
      <c r="J5" s="5">
        <v>0</v>
      </c>
      <c r="K5" s="5">
        <f t="shared" si="4"/>
        <v>0</v>
      </c>
      <c r="L5" s="5">
        <f t="shared" si="5"/>
        <v>2820645.068493986</v>
      </c>
      <c r="M5" s="5">
        <f t="shared" si="6"/>
        <v>958816</v>
      </c>
      <c r="N5" s="5">
        <f t="shared" si="7"/>
        <v>0</v>
      </c>
    </row>
    <row r="6" spans="1:14" x14ac:dyDescent="0.35">
      <c r="A6">
        <v>5</v>
      </c>
      <c r="B6" s="5">
        <f>Portfolio_CF!I6</f>
        <v>161929.64975311025</v>
      </c>
      <c r="C6" s="5">
        <f t="shared" si="8"/>
        <v>2820645.068493986</v>
      </c>
      <c r="D6" s="5">
        <f t="shared" si="9"/>
        <v>958816</v>
      </c>
      <c r="E6" s="5">
        <v>0</v>
      </c>
      <c r="F6" s="5">
        <f t="shared" si="0"/>
        <v>14103.22534246993</v>
      </c>
      <c r="G6" s="5">
        <f t="shared" si="1"/>
        <v>7191.12</v>
      </c>
      <c r="H6" s="5">
        <f t="shared" si="2"/>
        <v>140635.30441064032</v>
      </c>
      <c r="I6" s="5">
        <f t="shared" si="3"/>
        <v>0</v>
      </c>
      <c r="J6" s="5">
        <v>0</v>
      </c>
      <c r="K6" s="5">
        <f t="shared" si="4"/>
        <v>0</v>
      </c>
      <c r="L6" s="5">
        <f t="shared" si="5"/>
        <v>2680009.7640833459</v>
      </c>
      <c r="M6" s="5">
        <f t="shared" si="6"/>
        <v>958816</v>
      </c>
      <c r="N6" s="5">
        <f t="shared" si="7"/>
        <v>0</v>
      </c>
    </row>
    <row r="7" spans="1:14" x14ac:dyDescent="0.35">
      <c r="A7">
        <v>6</v>
      </c>
      <c r="B7" s="5">
        <f>Portfolio_CF!I7</f>
        <v>160011.95507542632</v>
      </c>
      <c r="C7" s="5">
        <f t="shared" si="8"/>
        <v>2680009.7640833459</v>
      </c>
      <c r="D7" s="5">
        <f t="shared" si="9"/>
        <v>958816</v>
      </c>
      <c r="E7" s="5">
        <v>0</v>
      </c>
      <c r="F7" s="5">
        <f t="shared" si="0"/>
        <v>13400.04882041673</v>
      </c>
      <c r="G7" s="5">
        <f t="shared" si="1"/>
        <v>7191.12</v>
      </c>
      <c r="H7" s="5">
        <f t="shared" si="2"/>
        <v>139420.78625500959</v>
      </c>
      <c r="I7" s="5">
        <f t="shared" si="3"/>
        <v>0</v>
      </c>
      <c r="J7" s="5">
        <v>0</v>
      </c>
      <c r="K7" s="5">
        <f t="shared" si="4"/>
        <v>0</v>
      </c>
      <c r="L7" s="5">
        <f t="shared" si="5"/>
        <v>2540588.9778283364</v>
      </c>
      <c r="M7" s="5">
        <f t="shared" si="6"/>
        <v>958816</v>
      </c>
      <c r="N7" s="5">
        <f t="shared" si="7"/>
        <v>0</v>
      </c>
    </row>
    <row r="8" spans="1:14" x14ac:dyDescent="0.35">
      <c r="A8">
        <v>7</v>
      </c>
      <c r="B8" s="5">
        <f>Portfolio_CF!I8</f>
        <v>158111.84538971473</v>
      </c>
      <c r="C8" s="5">
        <f t="shared" si="8"/>
        <v>2540588.9778283364</v>
      </c>
      <c r="D8" s="5">
        <f t="shared" si="9"/>
        <v>958816</v>
      </c>
      <c r="E8" s="5">
        <v>0</v>
      </c>
      <c r="F8" s="5">
        <f t="shared" si="0"/>
        <v>12702.944889141683</v>
      </c>
      <c r="G8" s="5">
        <f t="shared" si="1"/>
        <v>7191.12</v>
      </c>
      <c r="H8" s="5">
        <f t="shared" si="2"/>
        <v>138217.78050057305</v>
      </c>
      <c r="I8" s="5">
        <f t="shared" si="3"/>
        <v>0</v>
      </c>
      <c r="J8" s="5">
        <v>0</v>
      </c>
      <c r="K8" s="5">
        <f t="shared" si="4"/>
        <v>0</v>
      </c>
      <c r="L8" s="5">
        <f t="shared" si="5"/>
        <v>2402371.1973277633</v>
      </c>
      <c r="M8" s="5">
        <f t="shared" si="6"/>
        <v>958816</v>
      </c>
      <c r="N8" s="5">
        <f t="shared" si="7"/>
        <v>0</v>
      </c>
    </row>
    <row r="9" spans="1:14" x14ac:dyDescent="0.35">
      <c r="A9">
        <v>8</v>
      </c>
      <c r="B9" s="5">
        <f>Portfolio_CF!I9</f>
        <v>156229.11682118918</v>
      </c>
      <c r="C9" s="5">
        <f t="shared" si="8"/>
        <v>2402371.1973277633</v>
      </c>
      <c r="D9" s="5">
        <f t="shared" si="9"/>
        <v>958816</v>
      </c>
      <c r="E9" s="5">
        <v>0</v>
      </c>
      <c r="F9" s="5">
        <f t="shared" si="0"/>
        <v>12011.855986638817</v>
      </c>
      <c r="G9" s="5">
        <f t="shared" si="1"/>
        <v>7191.12</v>
      </c>
      <c r="H9" s="5">
        <f t="shared" si="2"/>
        <v>137026.14083455037</v>
      </c>
      <c r="I9" s="5">
        <f t="shared" si="3"/>
        <v>0</v>
      </c>
      <c r="J9" s="5">
        <v>0</v>
      </c>
      <c r="K9" s="5">
        <f t="shared" si="4"/>
        <v>0</v>
      </c>
      <c r="L9" s="5">
        <f t="shared" si="5"/>
        <v>2265345.0564932129</v>
      </c>
      <c r="M9" s="5">
        <f t="shared" si="6"/>
        <v>958816</v>
      </c>
      <c r="N9" s="5">
        <f t="shared" si="7"/>
        <v>0</v>
      </c>
    </row>
    <row r="10" spans="1:14" x14ac:dyDescent="0.35">
      <c r="A10">
        <v>9</v>
      </c>
      <c r="B10" s="5">
        <f>Portfolio_CF!I10</f>
        <v>154363.56162167698</v>
      </c>
      <c r="C10" s="5">
        <f t="shared" si="8"/>
        <v>2265345.0564932129</v>
      </c>
      <c r="D10" s="5">
        <f t="shared" si="9"/>
        <v>958816</v>
      </c>
      <c r="E10" s="5">
        <v>0</v>
      </c>
      <c r="F10" s="5">
        <f t="shared" si="0"/>
        <v>11326.725282466065</v>
      </c>
      <c r="G10" s="5">
        <f t="shared" si="1"/>
        <v>7191.12</v>
      </c>
      <c r="H10" s="5">
        <f t="shared" si="2"/>
        <v>135845.71633921092</v>
      </c>
      <c r="I10" s="5">
        <f t="shared" si="3"/>
        <v>0</v>
      </c>
      <c r="J10" s="5">
        <v>0</v>
      </c>
      <c r="K10" s="5">
        <f t="shared" si="4"/>
        <v>0</v>
      </c>
      <c r="L10" s="5">
        <f t="shared" si="5"/>
        <v>2129499.340154002</v>
      </c>
      <c r="M10" s="5">
        <f t="shared" si="6"/>
        <v>958816</v>
      </c>
      <c r="N10" s="5">
        <f t="shared" si="7"/>
        <v>0</v>
      </c>
    </row>
    <row r="11" spans="1:14" x14ac:dyDescent="0.35">
      <c r="A11">
        <v>10</v>
      </c>
      <c r="B11" s="5">
        <f>Portfolio_CF!I11</f>
        <v>152514.96737277426</v>
      </c>
      <c r="C11" s="5">
        <f t="shared" si="8"/>
        <v>2129499.340154002</v>
      </c>
      <c r="D11" s="5">
        <f t="shared" si="9"/>
        <v>958816</v>
      </c>
      <c r="E11" s="5">
        <v>0</v>
      </c>
      <c r="F11" s="5">
        <f t="shared" si="0"/>
        <v>10647.496700770011</v>
      </c>
      <c r="G11" s="5">
        <f t="shared" si="1"/>
        <v>7191.12</v>
      </c>
      <c r="H11" s="5">
        <f t="shared" si="2"/>
        <v>134676.35067200425</v>
      </c>
      <c r="I11" s="5">
        <f t="shared" si="3"/>
        <v>0</v>
      </c>
      <c r="J11" s="5">
        <v>0</v>
      </c>
      <c r="K11" s="5">
        <f t="shared" si="4"/>
        <v>0</v>
      </c>
      <c r="L11" s="5">
        <f t="shared" si="5"/>
        <v>1994822.9894819977</v>
      </c>
      <c r="M11" s="5">
        <f t="shared" si="6"/>
        <v>958816</v>
      </c>
      <c r="N11" s="5">
        <f t="shared" si="7"/>
        <v>0</v>
      </c>
    </row>
    <row r="12" spans="1:14" x14ac:dyDescent="0.35">
      <c r="A12">
        <v>11</v>
      </c>
      <c r="B12" s="5">
        <f>Portfolio_CF!I12</f>
        <v>150683.11603533814</v>
      </c>
      <c r="C12" s="5">
        <f t="shared" si="8"/>
        <v>1994822.9894819977</v>
      </c>
      <c r="D12" s="5">
        <f t="shared" si="9"/>
        <v>958816</v>
      </c>
      <c r="E12" s="5">
        <v>0</v>
      </c>
      <c r="F12" s="5">
        <f t="shared" si="0"/>
        <v>9974.1149474099893</v>
      </c>
      <c r="G12" s="5">
        <f t="shared" si="1"/>
        <v>7191.12</v>
      </c>
      <c r="H12" s="5">
        <f t="shared" si="2"/>
        <v>133517.88108792817</v>
      </c>
      <c r="I12" s="5">
        <f t="shared" si="3"/>
        <v>0</v>
      </c>
      <c r="J12" s="5">
        <v>0</v>
      </c>
      <c r="K12" s="5">
        <f t="shared" si="4"/>
        <v>0</v>
      </c>
      <c r="L12" s="5">
        <f t="shared" si="5"/>
        <v>1861305.1083940696</v>
      </c>
      <c r="M12" s="5">
        <f t="shared" si="6"/>
        <v>958816</v>
      </c>
      <c r="N12" s="5">
        <f t="shared" si="7"/>
        <v>0</v>
      </c>
    </row>
    <row r="13" spans="1:14" x14ac:dyDescent="0.35">
      <c r="A13">
        <v>12</v>
      </c>
      <c r="B13" s="5">
        <f>Portfolio_CF!I13</f>
        <v>148867.78280801544</v>
      </c>
      <c r="C13" s="5">
        <f t="shared" si="8"/>
        <v>1861305.1083940696</v>
      </c>
      <c r="D13" s="5">
        <f t="shared" si="9"/>
        <v>958816</v>
      </c>
      <c r="E13" s="5">
        <v>0</v>
      </c>
      <c r="F13" s="5">
        <f t="shared" si="0"/>
        <v>9306.5255419703481</v>
      </c>
      <c r="G13" s="5">
        <f t="shared" si="1"/>
        <v>7191.12</v>
      </c>
      <c r="H13" s="5">
        <f t="shared" si="2"/>
        <v>132370.13726604509</v>
      </c>
      <c r="I13" s="5">
        <f t="shared" si="3"/>
        <v>0</v>
      </c>
      <c r="J13" s="5">
        <v>0</v>
      </c>
      <c r="K13" s="5">
        <f t="shared" si="4"/>
        <v>0</v>
      </c>
      <c r="L13" s="5">
        <f t="shared" si="5"/>
        <v>1728934.9711280246</v>
      </c>
      <c r="M13" s="5">
        <f t="shared" si="6"/>
        <v>958816</v>
      </c>
      <c r="N13" s="5">
        <f t="shared" si="7"/>
        <v>0</v>
      </c>
    </row>
    <row r="14" spans="1:14" x14ac:dyDescent="0.35">
      <c r="A14">
        <v>13</v>
      </c>
      <c r="B14" s="5">
        <f>Portfolio_CF!I14</f>
        <v>147068.73474654445</v>
      </c>
      <c r="C14" s="5">
        <f t="shared" si="8"/>
        <v>1728934.9711280246</v>
      </c>
      <c r="D14" s="5">
        <f t="shared" si="9"/>
        <v>958816</v>
      </c>
      <c r="E14" s="5">
        <v>0</v>
      </c>
      <c r="F14" s="5">
        <f t="shared" si="0"/>
        <v>8644.6748556401235</v>
      </c>
      <c r="G14" s="5">
        <f t="shared" si="1"/>
        <v>7191.12</v>
      </c>
      <c r="H14" s="5">
        <f t="shared" si="2"/>
        <v>131232.93989090432</v>
      </c>
      <c r="I14" s="5">
        <f t="shared" si="3"/>
        <v>0</v>
      </c>
      <c r="J14" s="5">
        <v>0</v>
      </c>
      <c r="K14" s="5">
        <f t="shared" si="4"/>
        <v>0</v>
      </c>
      <c r="L14" s="5">
        <f t="shared" si="5"/>
        <v>1597702.0312371203</v>
      </c>
      <c r="M14" s="5">
        <f t="shared" si="6"/>
        <v>958816</v>
      </c>
      <c r="N14" s="5">
        <f t="shared" si="7"/>
        <v>0</v>
      </c>
    </row>
    <row r="15" spans="1:14" x14ac:dyDescent="0.35">
      <c r="A15">
        <v>14</v>
      </c>
      <c r="B15" s="5">
        <f>Portfolio_CF!I15</f>
        <v>145285.72908076961</v>
      </c>
      <c r="C15" s="5">
        <f t="shared" si="8"/>
        <v>1597702.0312371203</v>
      </c>
      <c r="D15" s="5">
        <f t="shared" si="9"/>
        <v>958816</v>
      </c>
      <c r="E15" s="5">
        <v>0</v>
      </c>
      <c r="F15" s="5">
        <f t="shared" si="0"/>
        <v>7988.5101561856018</v>
      </c>
      <c r="G15" s="5">
        <f t="shared" si="1"/>
        <v>7191.12</v>
      </c>
      <c r="H15" s="5">
        <f t="shared" si="2"/>
        <v>130106.09892458402</v>
      </c>
      <c r="I15" s="5">
        <f t="shared" si="3"/>
        <v>0</v>
      </c>
      <c r="J15" s="5">
        <v>0</v>
      </c>
      <c r="K15" s="5">
        <f t="shared" si="4"/>
        <v>0</v>
      </c>
      <c r="L15" s="5">
        <f t="shared" si="5"/>
        <v>1467595.9323125363</v>
      </c>
      <c r="M15" s="5">
        <f t="shared" si="6"/>
        <v>958816</v>
      </c>
      <c r="N15" s="5">
        <f t="shared" si="7"/>
        <v>0</v>
      </c>
    </row>
    <row r="16" spans="1:14" x14ac:dyDescent="0.35">
      <c r="A16">
        <v>15</v>
      </c>
      <c r="B16" s="5">
        <f>Portfolio_CF!I16</f>
        <v>143518.51114610207</v>
      </c>
      <c r="C16" s="5">
        <f t="shared" si="8"/>
        <v>1467595.9323125363</v>
      </c>
      <c r="D16" s="5">
        <f t="shared" si="9"/>
        <v>958816</v>
      </c>
      <c r="E16" s="5">
        <v>0</v>
      </c>
      <c r="F16" s="5">
        <f t="shared" si="0"/>
        <v>7337.9796615626819</v>
      </c>
      <c r="G16" s="5">
        <f t="shared" si="1"/>
        <v>7191.12</v>
      </c>
      <c r="H16" s="5">
        <f t="shared" si="2"/>
        <v>128989.41148453939</v>
      </c>
      <c r="I16" s="5">
        <f t="shared" si="3"/>
        <v>0</v>
      </c>
      <c r="J16" s="5">
        <v>0</v>
      </c>
      <c r="K16" s="5">
        <f t="shared" si="4"/>
        <v>0</v>
      </c>
      <c r="L16" s="5">
        <f t="shared" si="5"/>
        <v>1338606.520827997</v>
      </c>
      <c r="M16" s="5">
        <f t="shared" si="6"/>
        <v>958816</v>
      </c>
      <c r="N16" s="5">
        <f t="shared" si="7"/>
        <v>0</v>
      </c>
    </row>
    <row r="17" spans="1:14" x14ac:dyDescent="0.35">
      <c r="A17">
        <v>16</v>
      </c>
      <c r="B17" s="5">
        <f>Portfolio_CF!I17</f>
        <v>141766.81181821309</v>
      </c>
      <c r="C17" s="5">
        <f t="shared" si="8"/>
        <v>1338606.520827997</v>
      </c>
      <c r="D17" s="5">
        <f t="shared" si="9"/>
        <v>958816</v>
      </c>
      <c r="E17" s="5">
        <v>0</v>
      </c>
      <c r="F17" s="5">
        <f t="shared" si="0"/>
        <v>6693.0326041399849</v>
      </c>
      <c r="G17" s="5">
        <f t="shared" si="1"/>
        <v>7191.12</v>
      </c>
      <c r="H17" s="5">
        <f t="shared" si="2"/>
        <v>127882.65921407309</v>
      </c>
      <c r="I17" s="5">
        <f t="shared" si="3"/>
        <v>0</v>
      </c>
      <c r="J17" s="5">
        <v>0</v>
      </c>
      <c r="K17" s="5">
        <f t="shared" si="4"/>
        <v>0</v>
      </c>
      <c r="L17" s="5">
        <f t="shared" si="5"/>
        <v>1210723.8616139239</v>
      </c>
      <c r="M17" s="5">
        <f t="shared" si="6"/>
        <v>958816</v>
      </c>
      <c r="N17" s="5">
        <f t="shared" si="7"/>
        <v>0</v>
      </c>
    </row>
    <row r="18" spans="1:14" x14ac:dyDescent="0.35">
      <c r="A18">
        <v>17</v>
      </c>
      <c r="B18" s="5">
        <f>Portfolio_CF!I18</f>
        <v>140030.34430057203</v>
      </c>
      <c r="C18" s="5">
        <f t="shared" si="8"/>
        <v>1210723.8616139239</v>
      </c>
      <c r="D18" s="5">
        <f t="shared" si="9"/>
        <v>958816</v>
      </c>
      <c r="E18" s="5">
        <v>0</v>
      </c>
      <c r="F18" s="5">
        <f t="shared" si="0"/>
        <v>6053.6193080696194</v>
      </c>
      <c r="G18" s="5">
        <f t="shared" si="1"/>
        <v>7191.12</v>
      </c>
      <c r="H18" s="5">
        <f t="shared" si="2"/>
        <v>126785.60499250243</v>
      </c>
      <c r="I18" s="5">
        <f t="shared" si="3"/>
        <v>0</v>
      </c>
      <c r="J18" s="5">
        <v>0</v>
      </c>
      <c r="K18" s="5">
        <f t="shared" si="4"/>
        <v>0</v>
      </c>
      <c r="L18" s="5">
        <f t="shared" si="5"/>
        <v>1083938.2566214215</v>
      </c>
      <c r="M18" s="5">
        <f t="shared" si="6"/>
        <v>958816</v>
      </c>
      <c r="N18" s="5">
        <f t="shared" si="7"/>
        <v>0</v>
      </c>
    </row>
    <row r="19" spans="1:14" x14ac:dyDescent="0.35">
      <c r="A19">
        <v>18</v>
      </c>
      <c r="B19" s="5">
        <f>Portfolio_CF!I19</f>
        <v>138308.80005868306</v>
      </c>
      <c r="C19" s="5">
        <f t="shared" si="8"/>
        <v>1083938.2566214215</v>
      </c>
      <c r="D19" s="5">
        <f t="shared" si="9"/>
        <v>958816</v>
      </c>
      <c r="E19" s="5">
        <v>0</v>
      </c>
      <c r="F19" s="5">
        <f t="shared" si="0"/>
        <v>5419.6912831071077</v>
      </c>
      <c r="G19" s="5">
        <f t="shared" si="1"/>
        <v>7191.12</v>
      </c>
      <c r="H19" s="5">
        <f t="shared" si="2"/>
        <v>125697.98877557597</v>
      </c>
      <c r="I19" s="5">
        <f t="shared" si="3"/>
        <v>0</v>
      </c>
      <c r="J19" s="5">
        <v>0</v>
      </c>
      <c r="K19" s="5">
        <f t="shared" si="4"/>
        <v>0</v>
      </c>
      <c r="L19" s="5">
        <f t="shared" si="5"/>
        <v>958240.26784584555</v>
      </c>
      <c r="M19" s="5">
        <f t="shared" si="6"/>
        <v>958816</v>
      </c>
      <c r="N19" s="5">
        <f t="shared" si="7"/>
        <v>0</v>
      </c>
    </row>
    <row r="20" spans="1:14" x14ac:dyDescent="0.35">
      <c r="A20">
        <v>19</v>
      </c>
      <c r="B20" s="5">
        <f>Portfolio_CF!I20</f>
        <v>136601.84361423613</v>
      </c>
      <c r="C20" s="5">
        <f t="shared" si="8"/>
        <v>958240.26784584555</v>
      </c>
      <c r="D20" s="5">
        <f t="shared" si="9"/>
        <v>958816</v>
      </c>
      <c r="E20" s="5">
        <v>0</v>
      </c>
      <c r="F20" s="5">
        <f t="shared" si="0"/>
        <v>4791.2013392292274</v>
      </c>
      <c r="G20" s="5">
        <f t="shared" si="1"/>
        <v>7191.12</v>
      </c>
      <c r="H20" s="5">
        <f t="shared" si="2"/>
        <v>124619.52227500692</v>
      </c>
      <c r="I20" s="5">
        <f t="shared" si="3"/>
        <v>0</v>
      </c>
      <c r="J20" s="5">
        <v>0</v>
      </c>
      <c r="K20" s="5">
        <f t="shared" si="4"/>
        <v>0</v>
      </c>
      <c r="L20" s="5">
        <f t="shared" si="5"/>
        <v>833620.74557083868</v>
      </c>
      <c r="M20" s="5">
        <f t="shared" si="6"/>
        <v>958816</v>
      </c>
      <c r="N20" s="5">
        <f t="shared" si="7"/>
        <v>0</v>
      </c>
    </row>
    <row r="21" spans="1:14" x14ac:dyDescent="0.35">
      <c r="A21">
        <v>20</v>
      </c>
      <c r="B21" s="5">
        <f>Portfolio_CF!I21</f>
        <v>134909.10579362401</v>
      </c>
      <c r="C21" s="5">
        <f t="shared" si="8"/>
        <v>833620.74557083868</v>
      </c>
      <c r="D21" s="5">
        <f t="shared" si="9"/>
        <v>958816</v>
      </c>
      <c r="E21" s="5">
        <v>0</v>
      </c>
      <c r="F21" s="5">
        <f t="shared" si="0"/>
        <v>4168.1037278541935</v>
      </c>
      <c r="G21" s="5">
        <f t="shared" si="1"/>
        <v>7191.12</v>
      </c>
      <c r="H21" s="5">
        <f t="shared" si="2"/>
        <v>123549.88206576982</v>
      </c>
      <c r="I21" s="5">
        <f t="shared" si="3"/>
        <v>0</v>
      </c>
      <c r="J21" s="5">
        <v>0</v>
      </c>
      <c r="K21" s="5">
        <f t="shared" si="4"/>
        <v>0</v>
      </c>
      <c r="L21" s="5">
        <f t="shared" si="5"/>
        <v>710070.86350506882</v>
      </c>
      <c r="M21" s="5">
        <f t="shared" si="6"/>
        <v>958816</v>
      </c>
      <c r="N21" s="5">
        <f t="shared" si="7"/>
        <v>0</v>
      </c>
    </row>
    <row r="22" spans="1:14" x14ac:dyDescent="0.35">
      <c r="A22">
        <v>21</v>
      </c>
      <c r="B22" s="5">
        <f>Portfolio_CF!I22</f>
        <v>133230.17484689943</v>
      </c>
      <c r="C22" s="5">
        <f t="shared" si="8"/>
        <v>710070.86350506882</v>
      </c>
      <c r="D22" s="5">
        <f t="shared" si="9"/>
        <v>958816</v>
      </c>
      <c r="E22" s="5">
        <v>0</v>
      </c>
      <c r="F22" s="5">
        <f t="shared" si="0"/>
        <v>3550.354317525344</v>
      </c>
      <c r="G22" s="5">
        <f t="shared" si="1"/>
        <v>7191.12</v>
      </c>
      <c r="H22" s="5">
        <f t="shared" si="2"/>
        <v>122488.70052937409</v>
      </c>
      <c r="I22" s="5">
        <f t="shared" si="3"/>
        <v>0</v>
      </c>
      <c r="J22" s="5">
        <v>0</v>
      </c>
      <c r="K22" s="5">
        <f t="shared" si="4"/>
        <v>0</v>
      </c>
      <c r="L22" s="5">
        <f t="shared" si="5"/>
        <v>587582.16297569475</v>
      </c>
      <c r="M22" s="5">
        <f t="shared" si="6"/>
        <v>958816</v>
      </c>
      <c r="N22" s="5">
        <f t="shared" si="7"/>
        <v>0</v>
      </c>
    </row>
    <row r="23" spans="1:14" x14ac:dyDescent="0.35">
      <c r="A23">
        <v>22</v>
      </c>
      <c r="B23" s="5">
        <f>Portfolio_CF!I23</f>
        <v>131564.58457935895</v>
      </c>
      <c r="C23" s="5">
        <f t="shared" si="8"/>
        <v>587582.16297569475</v>
      </c>
      <c r="D23" s="5">
        <f t="shared" si="9"/>
        <v>958816</v>
      </c>
      <c r="E23" s="5">
        <v>0</v>
      </c>
      <c r="F23" s="5">
        <f t="shared" si="0"/>
        <v>2937.910814878474</v>
      </c>
      <c r="G23" s="5">
        <f t="shared" si="1"/>
        <v>7191.12</v>
      </c>
      <c r="H23" s="5">
        <f t="shared" si="2"/>
        <v>121435.55376448049</v>
      </c>
      <c r="I23" s="5">
        <f t="shared" si="3"/>
        <v>0</v>
      </c>
      <c r="J23" s="5">
        <v>0</v>
      </c>
      <c r="K23" s="5">
        <f t="shared" si="4"/>
        <v>0</v>
      </c>
      <c r="L23" s="5">
        <f t="shared" si="5"/>
        <v>466146.60921121424</v>
      </c>
      <c r="M23" s="5">
        <f t="shared" si="6"/>
        <v>958816</v>
      </c>
      <c r="N23" s="5">
        <f t="shared" si="7"/>
        <v>0</v>
      </c>
    </row>
    <row r="24" spans="1:14" x14ac:dyDescent="0.35">
      <c r="A24">
        <v>23</v>
      </c>
      <c r="B24" s="5">
        <f>Portfolio_CF!I24</f>
        <v>129911.79820697325</v>
      </c>
      <c r="C24" s="5">
        <f t="shared" si="8"/>
        <v>466146.60921121424</v>
      </c>
      <c r="D24" s="5">
        <f t="shared" si="9"/>
        <v>958816</v>
      </c>
      <c r="E24" s="5">
        <v>0</v>
      </c>
      <c r="F24" s="5">
        <f t="shared" si="0"/>
        <v>2330.7330460560711</v>
      </c>
      <c r="G24" s="5">
        <f t="shared" si="1"/>
        <v>7191.12</v>
      </c>
      <c r="H24" s="5">
        <f t="shared" si="2"/>
        <v>120389.94516091718</v>
      </c>
      <c r="I24" s="5">
        <f t="shared" si="3"/>
        <v>0</v>
      </c>
      <c r="J24" s="5">
        <v>0</v>
      </c>
      <c r="K24" s="5">
        <f t="shared" si="4"/>
        <v>0</v>
      </c>
      <c r="L24" s="5">
        <f t="shared" si="5"/>
        <v>345756.66405029705</v>
      </c>
      <c r="M24" s="5">
        <f t="shared" si="6"/>
        <v>958816</v>
      </c>
      <c r="N24" s="5">
        <f t="shared" si="7"/>
        <v>0</v>
      </c>
    </row>
    <row r="25" spans="1:14" x14ac:dyDescent="0.35">
      <c r="A25">
        <v>24</v>
      </c>
      <c r="B25" s="5">
        <f>Portfolio_CF!I25</f>
        <v>128271.18594979822</v>
      </c>
      <c r="C25" s="5">
        <f t="shared" si="8"/>
        <v>345756.66405029705</v>
      </c>
      <c r="D25" s="5">
        <f t="shared" si="9"/>
        <v>958816</v>
      </c>
      <c r="E25" s="5">
        <v>0</v>
      </c>
      <c r="F25" s="5">
        <f t="shared" si="0"/>
        <v>1728.7833202514853</v>
      </c>
      <c r="G25" s="5">
        <f t="shared" si="1"/>
        <v>7191.12</v>
      </c>
      <c r="H25" s="5">
        <f t="shared" si="2"/>
        <v>119351.28262954674</v>
      </c>
      <c r="I25" s="5">
        <f t="shared" si="3"/>
        <v>0</v>
      </c>
      <c r="J25" s="5">
        <v>0</v>
      </c>
      <c r="K25" s="5">
        <f t="shared" si="4"/>
        <v>0</v>
      </c>
      <c r="L25" s="5">
        <f t="shared" si="5"/>
        <v>226405.38142075032</v>
      </c>
      <c r="M25" s="5">
        <f t="shared" si="6"/>
        <v>958816</v>
      </c>
      <c r="N25" s="5">
        <f t="shared" si="7"/>
        <v>0</v>
      </c>
    </row>
    <row r="26" spans="1:14" x14ac:dyDescent="0.35">
      <c r="A26">
        <v>25</v>
      </c>
      <c r="B26" s="5">
        <f>Portfolio_CF!I26</f>
        <v>126641.99321419545</v>
      </c>
      <c r="C26" s="5">
        <f t="shared" si="8"/>
        <v>226405.38142075032</v>
      </c>
      <c r="D26" s="5">
        <f t="shared" si="9"/>
        <v>958816</v>
      </c>
      <c r="E26" s="5">
        <v>0</v>
      </c>
      <c r="F26" s="5">
        <f t="shared" si="0"/>
        <v>1132.0269071037517</v>
      </c>
      <c r="G26" s="5">
        <f t="shared" si="1"/>
        <v>7191.12</v>
      </c>
      <c r="H26" s="5">
        <f t="shared" si="2"/>
        <v>118318.84630709171</v>
      </c>
      <c r="I26" s="5">
        <f t="shared" si="3"/>
        <v>0</v>
      </c>
      <c r="J26" s="5">
        <v>0</v>
      </c>
      <c r="K26" s="5">
        <f t="shared" si="4"/>
        <v>0</v>
      </c>
      <c r="L26" s="5">
        <f t="shared" si="5"/>
        <v>108086.53511365861</v>
      </c>
      <c r="M26" s="5">
        <f t="shared" si="6"/>
        <v>958816</v>
      </c>
      <c r="N26" s="5">
        <f t="shared" si="7"/>
        <v>0</v>
      </c>
    </row>
    <row r="27" spans="1:14" x14ac:dyDescent="0.35">
      <c r="A27">
        <v>26</v>
      </c>
      <c r="B27" s="5">
        <f>Portfolio_CF!I27</f>
        <v>125023.29420281565</v>
      </c>
      <c r="C27" s="5">
        <f t="shared" si="8"/>
        <v>108086.53511365861</v>
      </c>
      <c r="D27" s="5">
        <f t="shared" si="9"/>
        <v>958816</v>
      </c>
      <c r="E27" s="5">
        <v>0</v>
      </c>
      <c r="F27" s="5">
        <f t="shared" si="0"/>
        <v>540.43267556829301</v>
      </c>
      <c r="G27" s="5">
        <f t="shared" si="1"/>
        <v>7191.12</v>
      </c>
      <c r="H27" s="5">
        <f t="shared" si="2"/>
        <v>108086.53511365861</v>
      </c>
      <c r="I27" s="5">
        <f t="shared" si="3"/>
        <v>9205.2064135887485</v>
      </c>
      <c r="J27" s="5">
        <v>0</v>
      </c>
      <c r="K27" s="5">
        <f t="shared" si="4"/>
        <v>0</v>
      </c>
      <c r="L27" s="5">
        <f t="shared" si="5"/>
        <v>0</v>
      </c>
      <c r="M27" s="5">
        <f t="shared" si="6"/>
        <v>949610.79358641128</v>
      </c>
      <c r="N27" s="5">
        <f t="shared" si="7"/>
        <v>0</v>
      </c>
    </row>
    <row r="28" spans="1:14" x14ac:dyDescent="0.35">
      <c r="A28">
        <v>27</v>
      </c>
      <c r="B28" s="5">
        <f>Portfolio_CF!I28</f>
        <v>123413.92216546567</v>
      </c>
      <c r="C28" s="5">
        <f t="shared" si="8"/>
        <v>0</v>
      </c>
      <c r="D28" s="5">
        <f t="shared" si="9"/>
        <v>949610.79358641128</v>
      </c>
      <c r="E28" s="5">
        <v>0</v>
      </c>
      <c r="F28" s="5">
        <f t="shared" si="0"/>
        <v>0</v>
      </c>
      <c r="G28" s="5">
        <f t="shared" si="1"/>
        <v>7122.0809518980841</v>
      </c>
      <c r="H28" s="5">
        <f t="shared" si="2"/>
        <v>0</v>
      </c>
      <c r="I28" s="5">
        <f t="shared" si="3"/>
        <v>116291.84121356759</v>
      </c>
      <c r="J28" s="5">
        <v>0</v>
      </c>
      <c r="K28" s="5">
        <f t="shared" si="4"/>
        <v>0</v>
      </c>
      <c r="L28" s="5">
        <f t="shared" si="5"/>
        <v>0</v>
      </c>
      <c r="M28" s="5">
        <f t="shared" si="6"/>
        <v>833318.95237284363</v>
      </c>
      <c r="N28" s="5">
        <f t="shared" si="7"/>
        <v>0</v>
      </c>
    </row>
    <row r="29" spans="1:14" x14ac:dyDescent="0.35">
      <c r="A29">
        <v>28</v>
      </c>
      <c r="B29" s="5">
        <f>Portfolio_CF!I29</f>
        <v>121812.3606469779</v>
      </c>
      <c r="C29" s="5">
        <f t="shared" si="8"/>
        <v>0</v>
      </c>
      <c r="D29" s="5">
        <f t="shared" si="9"/>
        <v>833318.95237284363</v>
      </c>
      <c r="E29" s="5">
        <v>0</v>
      </c>
      <c r="F29" s="5">
        <f t="shared" si="0"/>
        <v>0</v>
      </c>
      <c r="G29" s="5">
        <f t="shared" si="1"/>
        <v>6249.8921427963269</v>
      </c>
      <c r="H29" s="5">
        <f t="shared" si="2"/>
        <v>0</v>
      </c>
      <c r="I29" s="5">
        <f t="shared" si="3"/>
        <v>115562.46850418158</v>
      </c>
      <c r="J29" s="5">
        <v>0</v>
      </c>
      <c r="K29" s="5">
        <f t="shared" si="4"/>
        <v>0</v>
      </c>
      <c r="L29" s="5">
        <f t="shared" si="5"/>
        <v>0</v>
      </c>
      <c r="M29" s="5">
        <f t="shared" si="6"/>
        <v>717756.48386866204</v>
      </c>
      <c r="N29" s="5">
        <f t="shared" si="7"/>
        <v>0</v>
      </c>
    </row>
    <row r="30" spans="1:14" x14ac:dyDescent="0.35">
      <c r="A30">
        <v>29</v>
      </c>
      <c r="B30" s="5">
        <f>Portfolio_CF!I30</f>
        <v>120216.56635826765</v>
      </c>
      <c r="C30" s="5">
        <f t="shared" si="8"/>
        <v>0</v>
      </c>
      <c r="D30" s="5">
        <f t="shared" si="9"/>
        <v>717756.48386866204</v>
      </c>
      <c r="E30" s="5">
        <v>0</v>
      </c>
      <c r="F30" s="5">
        <f t="shared" si="0"/>
        <v>0</v>
      </c>
      <c r="G30" s="5">
        <f t="shared" si="1"/>
        <v>5383.1736290149647</v>
      </c>
      <c r="H30" s="5">
        <f t="shared" si="2"/>
        <v>0</v>
      </c>
      <c r="I30" s="5">
        <f t="shared" si="3"/>
        <v>114833.39272925268</v>
      </c>
      <c r="J30" s="5">
        <v>0</v>
      </c>
      <c r="K30" s="5">
        <f t="shared" si="4"/>
        <v>0</v>
      </c>
      <c r="L30" s="5">
        <f t="shared" si="5"/>
        <v>0</v>
      </c>
      <c r="M30" s="5">
        <f t="shared" si="6"/>
        <v>602923.09113940934</v>
      </c>
      <c r="N30" s="5">
        <f t="shared" si="7"/>
        <v>0</v>
      </c>
    </row>
    <row r="31" spans="1:14" x14ac:dyDescent="0.35">
      <c r="A31">
        <v>30</v>
      </c>
      <c r="B31" s="5">
        <f>Portfolio_CF!I31</f>
        <v>118623.66484249481</v>
      </c>
      <c r="C31" s="5">
        <f t="shared" si="8"/>
        <v>0</v>
      </c>
      <c r="D31" s="5">
        <f t="shared" si="9"/>
        <v>602923.09113940934</v>
      </c>
      <c r="E31" s="5">
        <v>0</v>
      </c>
      <c r="F31" s="5">
        <f t="shared" si="0"/>
        <v>0</v>
      </c>
      <c r="G31" s="5">
        <f t="shared" si="1"/>
        <v>4521.9231835455703</v>
      </c>
      <c r="H31" s="5">
        <f t="shared" si="2"/>
        <v>0</v>
      </c>
      <c r="I31" s="5">
        <f t="shared" si="3"/>
        <v>114101.74165894923</v>
      </c>
      <c r="J31" s="5">
        <v>0</v>
      </c>
      <c r="K31" s="5">
        <f t="shared" si="4"/>
        <v>0</v>
      </c>
      <c r="L31" s="5">
        <f t="shared" si="5"/>
        <v>0</v>
      </c>
      <c r="M31" s="5">
        <f t="shared" si="6"/>
        <v>488821.34948046011</v>
      </c>
      <c r="N31" s="5">
        <f t="shared" si="7"/>
        <v>0</v>
      </c>
    </row>
    <row r="32" spans="1:14" x14ac:dyDescent="0.35">
      <c r="A32">
        <v>31</v>
      </c>
      <c r="B32" s="5">
        <f>Portfolio_CF!I32</f>
        <v>117029.39130777467</v>
      </c>
      <c r="C32" s="5">
        <f t="shared" si="8"/>
        <v>0</v>
      </c>
      <c r="D32" s="5">
        <f t="shared" si="9"/>
        <v>488821.34948046011</v>
      </c>
      <c r="E32" s="5">
        <v>0</v>
      </c>
      <c r="F32" s="5">
        <f t="shared" si="0"/>
        <v>0</v>
      </c>
      <c r="G32" s="5">
        <f t="shared" si="1"/>
        <v>3666.1601211034508</v>
      </c>
      <c r="H32" s="5">
        <f t="shared" si="2"/>
        <v>0</v>
      </c>
      <c r="I32" s="5">
        <f t="shared" si="3"/>
        <v>113363.23118667121</v>
      </c>
      <c r="J32" s="5">
        <v>0</v>
      </c>
      <c r="K32" s="5">
        <f t="shared" si="4"/>
        <v>0</v>
      </c>
      <c r="L32" s="5">
        <f t="shared" si="5"/>
        <v>0</v>
      </c>
      <c r="M32" s="5">
        <f t="shared" si="6"/>
        <v>375458.11829378887</v>
      </c>
      <c r="N32" s="5">
        <f t="shared" si="7"/>
        <v>0</v>
      </c>
    </row>
    <row r="33" spans="1:14" x14ac:dyDescent="0.35">
      <c r="A33">
        <v>32</v>
      </c>
      <c r="B33" s="5">
        <f>Portfolio_CF!I33</f>
        <v>115426.96993382905</v>
      </c>
      <c r="C33" s="5">
        <f t="shared" si="8"/>
        <v>0</v>
      </c>
      <c r="D33" s="5">
        <f t="shared" si="9"/>
        <v>375458.11829378887</v>
      </c>
      <c r="E33" s="5">
        <v>0</v>
      </c>
      <c r="F33" s="5">
        <f t="shared" si="0"/>
        <v>0</v>
      </c>
      <c r="G33" s="5">
        <f t="shared" si="1"/>
        <v>2815.9358872034163</v>
      </c>
      <c r="H33" s="5">
        <f t="shared" si="2"/>
        <v>0</v>
      </c>
      <c r="I33" s="5">
        <f t="shared" si="3"/>
        <v>112611.03404662563</v>
      </c>
      <c r="J33" s="5">
        <v>0</v>
      </c>
      <c r="K33" s="5">
        <f t="shared" si="4"/>
        <v>0</v>
      </c>
      <c r="L33" s="5">
        <f t="shared" si="5"/>
        <v>0</v>
      </c>
      <c r="M33" s="5">
        <f t="shared" si="6"/>
        <v>262847.08424716326</v>
      </c>
      <c r="N33" s="5">
        <f t="shared" si="7"/>
        <v>0</v>
      </c>
    </row>
    <row r="34" spans="1:14" x14ac:dyDescent="0.35">
      <c r="A34">
        <v>33</v>
      </c>
      <c r="B34" s="5">
        <f>Portfolio_CF!I34</f>
        <v>113804.58725092022</v>
      </c>
      <c r="C34" s="5">
        <f t="shared" si="8"/>
        <v>0</v>
      </c>
      <c r="D34" s="5">
        <f t="shared" si="9"/>
        <v>262847.08424716326</v>
      </c>
      <c r="E34" s="5">
        <v>0</v>
      </c>
      <c r="F34" s="5">
        <f t="shared" si="0"/>
        <v>0</v>
      </c>
      <c r="G34" s="5">
        <f t="shared" si="1"/>
        <v>1971.3531318537243</v>
      </c>
      <c r="H34" s="5">
        <f t="shared" si="2"/>
        <v>0</v>
      </c>
      <c r="I34" s="5">
        <f t="shared" si="3"/>
        <v>111833.23411906649</v>
      </c>
      <c r="J34" s="5">
        <v>0</v>
      </c>
      <c r="K34" s="5">
        <f t="shared" si="4"/>
        <v>0</v>
      </c>
      <c r="L34" s="5">
        <f t="shared" si="5"/>
        <v>0</v>
      </c>
      <c r="M34" s="5">
        <f t="shared" si="6"/>
        <v>151013.85012809676</v>
      </c>
      <c r="N34" s="5">
        <f t="shared" si="7"/>
        <v>0</v>
      </c>
    </row>
    <row r="35" spans="1:14" x14ac:dyDescent="0.35">
      <c r="A35">
        <v>34</v>
      </c>
      <c r="B35" s="5">
        <f>Portfolio_CF!I35</f>
        <v>112138.64182739615</v>
      </c>
      <c r="C35" s="5">
        <f t="shared" si="8"/>
        <v>0</v>
      </c>
      <c r="D35" s="5">
        <f t="shared" si="9"/>
        <v>151013.85012809676</v>
      </c>
      <c r="E35" s="5">
        <v>0</v>
      </c>
      <c r="F35" s="5">
        <f t="shared" si="0"/>
        <v>0</v>
      </c>
      <c r="G35" s="5">
        <f t="shared" si="1"/>
        <v>1132.6038759607256</v>
      </c>
      <c r="H35" s="5">
        <f t="shared" si="2"/>
        <v>0</v>
      </c>
      <c r="I35" s="5">
        <f t="shared" si="3"/>
        <v>111006.03795143541</v>
      </c>
      <c r="J35" s="5">
        <v>0</v>
      </c>
      <c r="K35" s="5">
        <f t="shared" si="4"/>
        <v>0</v>
      </c>
      <c r="L35" s="5">
        <f t="shared" si="5"/>
        <v>0</v>
      </c>
      <c r="M35" s="5">
        <f t="shared" si="6"/>
        <v>40007.812176661348</v>
      </c>
      <c r="N35" s="5">
        <f t="shared" si="7"/>
        <v>0</v>
      </c>
    </row>
    <row r="36" spans="1:14" x14ac:dyDescent="0.35">
      <c r="A36">
        <v>35</v>
      </c>
      <c r="B36" s="5">
        <f>Portfolio_CF!I36</f>
        <v>110370.07764947327</v>
      </c>
      <c r="C36" s="5">
        <f t="shared" si="8"/>
        <v>0</v>
      </c>
      <c r="D36" s="5">
        <f t="shared" si="9"/>
        <v>40007.812176661348</v>
      </c>
      <c r="E36" s="5">
        <v>0</v>
      </c>
      <c r="F36" s="5">
        <f t="shared" si="0"/>
        <v>0</v>
      </c>
      <c r="G36" s="5">
        <f t="shared" si="1"/>
        <v>300.0585913249601</v>
      </c>
      <c r="H36" s="5">
        <f t="shared" si="2"/>
        <v>0</v>
      </c>
      <c r="I36" s="5">
        <f t="shared" si="3"/>
        <v>40007.812176661348</v>
      </c>
      <c r="J36" s="5">
        <v>0</v>
      </c>
      <c r="K36" s="5">
        <f t="shared" si="4"/>
        <v>70062.206881486956</v>
      </c>
      <c r="L36" s="5">
        <f t="shared" si="5"/>
        <v>0</v>
      </c>
      <c r="M36" s="5">
        <f t="shared" si="6"/>
        <v>0</v>
      </c>
      <c r="N36" s="5">
        <f t="shared" si="7"/>
        <v>70062.206881486956</v>
      </c>
    </row>
    <row r="37" spans="1:14" x14ac:dyDescent="0.35">
      <c r="A37">
        <v>36</v>
      </c>
      <c r="B37" s="5">
        <f>Portfolio_CF!I37</f>
        <v>108262.17054231658</v>
      </c>
      <c r="C37" s="5">
        <f t="shared" si="8"/>
        <v>0</v>
      </c>
      <c r="D37" s="5">
        <f t="shared" si="9"/>
        <v>0</v>
      </c>
      <c r="E37" s="5">
        <v>0</v>
      </c>
      <c r="F37" s="5">
        <f t="shared" si="0"/>
        <v>0</v>
      </c>
      <c r="G37" s="5">
        <f t="shared" si="1"/>
        <v>0</v>
      </c>
      <c r="H37" s="5">
        <f t="shared" si="2"/>
        <v>0</v>
      </c>
      <c r="I37" s="5">
        <f t="shared" si="3"/>
        <v>0</v>
      </c>
      <c r="J37" s="5">
        <v>0</v>
      </c>
      <c r="K37" s="5">
        <f t="shared" si="4"/>
        <v>108262.17054231658</v>
      </c>
      <c r="L37" s="5">
        <f t="shared" si="5"/>
        <v>0</v>
      </c>
      <c r="M37" s="5">
        <f t="shared" si="6"/>
        <v>0</v>
      </c>
      <c r="N37" s="5">
        <f t="shared" si="7"/>
        <v>108262.17054231658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8"/>
  <sheetViews>
    <sheetView workbookViewId="0">
      <selection activeCell="D6" sqref="D6"/>
    </sheetView>
  </sheetViews>
  <sheetFormatPr defaultRowHeight="14.5" x14ac:dyDescent="0.35"/>
  <cols>
    <col min="2" max="2" width="10.36328125" bestFit="1" customWidth="1"/>
    <col min="3" max="3" width="9.7265625" bestFit="1" customWidth="1"/>
  </cols>
  <sheetData>
    <row r="1" spans="1:4" x14ac:dyDescent="0.35">
      <c r="A1" s="2" t="s">
        <v>215</v>
      </c>
      <c r="B1" s="2" t="s">
        <v>216</v>
      </c>
      <c r="C1" s="2" t="s">
        <v>217</v>
      </c>
      <c r="D1" s="2" t="s">
        <v>218</v>
      </c>
    </row>
    <row r="3" spans="1:4" x14ac:dyDescent="0.35">
      <c r="A3" t="s">
        <v>219</v>
      </c>
      <c r="B3" s="5">
        <f>-Sr_Notes</f>
        <v>-3355856</v>
      </c>
      <c r="C3" s="5">
        <f>-Mz_Notes</f>
        <v>-958816</v>
      </c>
      <c r="D3" s="5">
        <v>0</v>
      </c>
    </row>
    <row r="4" spans="1:4" x14ac:dyDescent="0.35">
      <c r="A4" t="s">
        <v>220</v>
      </c>
      <c r="B4" s="5">
        <f>SUM(Waterfall!F2:F37)+SUM(Waterfall!H2:H37)</f>
        <v>3575820.8219473846</v>
      </c>
      <c r="C4" s="5">
        <f>SUM(Waterfall!G2:G37)+SUM(Waterfall!I2:I37)</f>
        <v>1178948.301514701</v>
      </c>
      <c r="D4" s="5">
        <f>SUM(Waterfall!N2:N37)</f>
        <v>178324.37742380355</v>
      </c>
    </row>
    <row r="6" spans="1:4" x14ac:dyDescent="0.35">
      <c r="A6" t="s">
        <v>221</v>
      </c>
      <c r="B6" s="4">
        <f>IFERROR(IRR(B12:B48),NA())</f>
        <v>5.0000000000001155E-3</v>
      </c>
      <c r="C6" s="4">
        <f>IFERROR(IRR(C12:C48),NA())</f>
        <v>7.5000000000000622E-3</v>
      </c>
      <c r="D6" s="4" t="e">
        <f>IFERROR(IRR(D12:D48),NA())</f>
        <v>#N/A</v>
      </c>
    </row>
    <row r="7" spans="1:4" x14ac:dyDescent="0.35">
      <c r="A7" t="s">
        <v>223</v>
      </c>
      <c r="B7" s="4">
        <f>(1+B6)^12-1</f>
        <v>6.1677811864500942E-2</v>
      </c>
      <c r="C7" s="4">
        <f>(1+C6)^12-1</f>
        <v>9.3806897670984268E-2</v>
      </c>
      <c r="D7" s="4" t="e">
        <f>(1+D6)^12-1</f>
        <v>#N/A</v>
      </c>
    </row>
    <row r="9" spans="1:4" x14ac:dyDescent="0.35">
      <c r="A9" t="s">
        <v>224</v>
      </c>
      <c r="B9" s="3">
        <f>SUMPRODUCT(Waterfall!$A$2:$A$37,Waterfall!$H$2:$H$37)/SUM(Waterfall!$H$2:$H$37)</f>
        <v>13.109312315390419</v>
      </c>
      <c r="C9" s="3">
        <f>SUMPRODUCT(Waterfall!$A$2:$A$37,Waterfall!$I$2:$I$37)/SUM(Waterfall!$I$2:$I$37)</f>
        <v>30.611685177649829</v>
      </c>
      <c r="D9" t="s">
        <v>225</v>
      </c>
    </row>
    <row r="11" spans="1:4" x14ac:dyDescent="0.35">
      <c r="A11" s="6" t="s">
        <v>222</v>
      </c>
    </row>
    <row r="12" spans="1:4" x14ac:dyDescent="0.35">
      <c r="B12" s="5">
        <f>-Sr_Notes</f>
        <v>-3355856</v>
      </c>
      <c r="C12" s="5">
        <f>-Mz_Notes</f>
        <v>-958816</v>
      </c>
      <c r="D12" s="5">
        <v>0</v>
      </c>
    </row>
    <row r="13" spans="1:4" x14ac:dyDescent="0.35">
      <c r="B13" s="5">
        <f>Waterfall!F2+Waterfall!H2</f>
        <v>148776.69478933336</v>
      </c>
      <c r="C13" s="5">
        <f>Waterfall!G2+Waterfall!I2</f>
        <v>7191.12</v>
      </c>
      <c r="D13" s="5">
        <f>Waterfall!N2</f>
        <v>0</v>
      </c>
    </row>
    <row r="14" spans="1:4" x14ac:dyDescent="0.35">
      <c r="B14" s="5">
        <f>Waterfall!F3+Waterfall!H3</f>
        <v>147232.92542278013</v>
      </c>
      <c r="C14" s="5">
        <f>Waterfall!G3+Waterfall!I3</f>
        <v>7191.12</v>
      </c>
      <c r="D14" s="5">
        <f>Waterfall!N3</f>
        <v>0</v>
      </c>
    </row>
    <row r="15" spans="1:4" x14ac:dyDescent="0.35">
      <c r="B15" s="5">
        <f>Waterfall!F4+Waterfall!H4</f>
        <v>145702.13161638955</v>
      </c>
      <c r="C15" s="5">
        <f>Waterfall!G4+Waterfall!I4</f>
        <v>7191.12</v>
      </c>
      <c r="D15" s="5">
        <f>Waterfall!N4</f>
        <v>0</v>
      </c>
    </row>
    <row r="16" spans="1:4" x14ac:dyDescent="0.35">
      <c r="B16" s="5">
        <f>Waterfall!F5+Waterfall!H5</f>
        <v>156674.01009643948</v>
      </c>
      <c r="C16" s="5">
        <f>Waterfall!G5+Waterfall!I5</f>
        <v>7191.12</v>
      </c>
      <c r="D16" s="5">
        <f>Waterfall!N5</f>
        <v>0</v>
      </c>
    </row>
    <row r="17" spans="2:4" x14ac:dyDescent="0.35">
      <c r="B17" s="5">
        <f>Waterfall!F6+Waterfall!H6</f>
        <v>154738.52975311026</v>
      </c>
      <c r="C17" s="5">
        <f>Waterfall!G6+Waterfall!I6</f>
        <v>7191.12</v>
      </c>
      <c r="D17" s="5">
        <f>Waterfall!N6</f>
        <v>0</v>
      </c>
    </row>
    <row r="18" spans="2:4" x14ac:dyDescent="0.35">
      <c r="B18" s="5">
        <f>Waterfall!F7+Waterfall!H7</f>
        <v>152820.83507542632</v>
      </c>
      <c r="C18" s="5">
        <f>Waterfall!G7+Waterfall!I7</f>
        <v>7191.12</v>
      </c>
      <c r="D18" s="5">
        <f>Waterfall!N7</f>
        <v>0</v>
      </c>
    </row>
    <row r="19" spans="2:4" x14ac:dyDescent="0.35">
      <c r="B19" s="5">
        <f>Waterfall!F8+Waterfall!H8</f>
        <v>150920.72538971473</v>
      </c>
      <c r="C19" s="5">
        <f>Waterfall!G8+Waterfall!I8</f>
        <v>7191.12</v>
      </c>
      <c r="D19" s="5">
        <f>Waterfall!N8</f>
        <v>0</v>
      </c>
    </row>
    <row r="20" spans="2:4" x14ac:dyDescent="0.35">
      <c r="B20" s="5">
        <f>Waterfall!F9+Waterfall!H9</f>
        <v>149037.99682118918</v>
      </c>
      <c r="C20" s="5">
        <f>Waterfall!G9+Waterfall!I9</f>
        <v>7191.12</v>
      </c>
      <c r="D20" s="5">
        <f>Waterfall!N9</f>
        <v>0</v>
      </c>
    </row>
    <row r="21" spans="2:4" x14ac:dyDescent="0.35">
      <c r="B21" s="5">
        <f>Waterfall!F10+Waterfall!H10</f>
        <v>147172.44162167699</v>
      </c>
      <c r="C21" s="5">
        <f>Waterfall!G10+Waterfall!I10</f>
        <v>7191.12</v>
      </c>
      <c r="D21" s="5">
        <f>Waterfall!N10</f>
        <v>0</v>
      </c>
    </row>
    <row r="22" spans="2:4" x14ac:dyDescent="0.35">
      <c r="B22" s="5">
        <f>Waterfall!F11+Waterfall!H11</f>
        <v>145323.84737277427</v>
      </c>
      <c r="C22" s="5">
        <f>Waterfall!G11+Waterfall!I11</f>
        <v>7191.12</v>
      </c>
      <c r="D22" s="5">
        <f>Waterfall!N11</f>
        <v>0</v>
      </c>
    </row>
    <row r="23" spans="2:4" x14ac:dyDescent="0.35">
      <c r="B23" s="5">
        <f>Waterfall!F12+Waterfall!H12</f>
        <v>143491.99603533815</v>
      </c>
      <c r="C23" s="5">
        <f>Waterfall!G12+Waterfall!I12</f>
        <v>7191.12</v>
      </c>
      <c r="D23" s="5">
        <f>Waterfall!N12</f>
        <v>0</v>
      </c>
    </row>
    <row r="24" spans="2:4" x14ac:dyDescent="0.35">
      <c r="B24" s="5">
        <f>Waterfall!F13+Waterfall!H13</f>
        <v>141676.66280801545</v>
      </c>
      <c r="C24" s="5">
        <f>Waterfall!G13+Waterfall!I13</f>
        <v>7191.12</v>
      </c>
      <c r="D24" s="5">
        <f>Waterfall!N13</f>
        <v>0</v>
      </c>
    </row>
    <row r="25" spans="2:4" x14ac:dyDescent="0.35">
      <c r="B25" s="5">
        <f>Waterfall!F14+Waterfall!H14</f>
        <v>139877.61474654445</v>
      </c>
      <c r="C25" s="5">
        <f>Waterfall!G14+Waterfall!I14</f>
        <v>7191.12</v>
      </c>
      <c r="D25" s="5">
        <f>Waterfall!N14</f>
        <v>0</v>
      </c>
    </row>
    <row r="26" spans="2:4" x14ac:dyDescent="0.35">
      <c r="B26" s="5">
        <f>Waterfall!F15+Waterfall!H15</f>
        <v>138094.60908076962</v>
      </c>
      <c r="C26" s="5">
        <f>Waterfall!G15+Waterfall!I15</f>
        <v>7191.12</v>
      </c>
      <c r="D26" s="5">
        <f>Waterfall!N15</f>
        <v>0</v>
      </c>
    </row>
    <row r="27" spans="2:4" x14ac:dyDescent="0.35">
      <c r="B27" s="5">
        <f>Waterfall!F16+Waterfall!H16</f>
        <v>136327.39114610208</v>
      </c>
      <c r="C27" s="5">
        <f>Waterfall!G16+Waterfall!I16</f>
        <v>7191.12</v>
      </c>
      <c r="D27" s="5">
        <f>Waterfall!N16</f>
        <v>0</v>
      </c>
    </row>
    <row r="28" spans="2:4" x14ac:dyDescent="0.35">
      <c r="B28" s="5">
        <f>Waterfall!F17+Waterfall!H17</f>
        <v>134575.69181821309</v>
      </c>
      <c r="C28" s="5">
        <f>Waterfall!G17+Waterfall!I17</f>
        <v>7191.12</v>
      </c>
      <c r="D28" s="5">
        <f>Waterfall!N17</f>
        <v>0</v>
      </c>
    </row>
    <row r="29" spans="2:4" x14ac:dyDescent="0.35">
      <c r="B29" s="5">
        <f>Waterfall!F18+Waterfall!H18</f>
        <v>132839.22430057204</v>
      </c>
      <c r="C29" s="5">
        <f>Waterfall!G18+Waterfall!I18</f>
        <v>7191.12</v>
      </c>
      <c r="D29" s="5">
        <f>Waterfall!N18</f>
        <v>0</v>
      </c>
    </row>
    <row r="30" spans="2:4" x14ac:dyDescent="0.35">
      <c r="B30" s="5">
        <f>Waterfall!F19+Waterfall!H19</f>
        <v>131117.68005868306</v>
      </c>
      <c r="C30" s="5">
        <f>Waterfall!G19+Waterfall!I19</f>
        <v>7191.12</v>
      </c>
      <c r="D30" s="5">
        <f>Waterfall!N19</f>
        <v>0</v>
      </c>
    </row>
    <row r="31" spans="2:4" x14ac:dyDescent="0.35">
      <c r="B31" s="5">
        <f>Waterfall!F20+Waterfall!H20</f>
        <v>129410.72361423615</v>
      </c>
      <c r="C31" s="5">
        <f>Waterfall!G20+Waterfall!I20</f>
        <v>7191.12</v>
      </c>
      <c r="D31" s="5">
        <f>Waterfall!N20</f>
        <v>0</v>
      </c>
    </row>
    <row r="32" spans="2:4" x14ac:dyDescent="0.35">
      <c r="B32" s="5">
        <f>Waterfall!F21+Waterfall!H21</f>
        <v>127717.98579362402</v>
      </c>
      <c r="C32" s="5">
        <f>Waterfall!G21+Waterfall!I21</f>
        <v>7191.12</v>
      </c>
      <c r="D32" s="5">
        <f>Waterfall!N21</f>
        <v>0</v>
      </c>
    </row>
    <row r="33" spans="2:4" x14ac:dyDescent="0.35">
      <c r="B33" s="5">
        <f>Waterfall!F22+Waterfall!H22</f>
        <v>126039.05484689944</v>
      </c>
      <c r="C33" s="5">
        <f>Waterfall!G22+Waterfall!I22</f>
        <v>7191.12</v>
      </c>
      <c r="D33" s="5">
        <f>Waterfall!N22</f>
        <v>0</v>
      </c>
    </row>
    <row r="34" spans="2:4" x14ac:dyDescent="0.35">
      <c r="B34" s="5">
        <f>Waterfall!F23+Waterfall!H23</f>
        <v>124373.46457935896</v>
      </c>
      <c r="C34" s="5">
        <f>Waterfall!G23+Waterfall!I23</f>
        <v>7191.12</v>
      </c>
      <c r="D34" s="5">
        <f>Waterfall!N23</f>
        <v>0</v>
      </c>
    </row>
    <row r="35" spans="2:4" x14ac:dyDescent="0.35">
      <c r="B35" s="5">
        <f>Waterfall!F24+Waterfall!H24</f>
        <v>122720.67820697326</v>
      </c>
      <c r="C35" s="5">
        <f>Waterfall!G24+Waterfall!I24</f>
        <v>7191.12</v>
      </c>
      <c r="D35" s="5">
        <f>Waterfall!N24</f>
        <v>0</v>
      </c>
    </row>
    <row r="36" spans="2:4" x14ac:dyDescent="0.35">
      <c r="B36" s="5">
        <f>Waterfall!F25+Waterfall!H25</f>
        <v>121080.06594979823</v>
      </c>
      <c r="C36" s="5">
        <f>Waterfall!G25+Waterfall!I25</f>
        <v>7191.12</v>
      </c>
      <c r="D36" s="5">
        <f>Waterfall!N25</f>
        <v>0</v>
      </c>
    </row>
    <row r="37" spans="2:4" x14ac:dyDescent="0.35">
      <c r="B37" s="5">
        <f>Waterfall!F26+Waterfall!H26</f>
        <v>119450.87321419545</v>
      </c>
      <c r="C37" s="5">
        <f>Waterfall!G26+Waterfall!I26</f>
        <v>7191.12</v>
      </c>
      <c r="D37" s="5">
        <f>Waterfall!N26</f>
        <v>0</v>
      </c>
    </row>
    <row r="38" spans="2:4" x14ac:dyDescent="0.35">
      <c r="B38" s="5">
        <f>Waterfall!F27+Waterfall!H27</f>
        <v>108626.96778922691</v>
      </c>
      <c r="C38" s="5">
        <f>Waterfall!G27+Waterfall!I27</f>
        <v>16396.326413588748</v>
      </c>
      <c r="D38" s="5">
        <f>Waterfall!N27</f>
        <v>0</v>
      </c>
    </row>
    <row r="39" spans="2:4" x14ac:dyDescent="0.35">
      <c r="B39" s="5">
        <f>Waterfall!F28+Waterfall!H28</f>
        <v>0</v>
      </c>
      <c r="C39" s="5">
        <f>Waterfall!G28+Waterfall!I28</f>
        <v>123413.92216546567</v>
      </c>
      <c r="D39" s="5">
        <f>Waterfall!N28</f>
        <v>0</v>
      </c>
    </row>
    <row r="40" spans="2:4" x14ac:dyDescent="0.35">
      <c r="B40" s="5">
        <f>Waterfall!F29+Waterfall!H29</f>
        <v>0</v>
      </c>
      <c r="C40" s="5">
        <f>Waterfall!G29+Waterfall!I29</f>
        <v>121812.3606469779</v>
      </c>
      <c r="D40" s="5">
        <f>Waterfall!N29</f>
        <v>0</v>
      </c>
    </row>
    <row r="41" spans="2:4" x14ac:dyDescent="0.35">
      <c r="B41" s="5">
        <f>Waterfall!F30+Waterfall!H30</f>
        <v>0</v>
      </c>
      <c r="C41" s="5">
        <f>Waterfall!G30+Waterfall!I30</f>
        <v>120216.56635826765</v>
      </c>
      <c r="D41" s="5">
        <f>Waterfall!N30</f>
        <v>0</v>
      </c>
    </row>
    <row r="42" spans="2:4" x14ac:dyDescent="0.35">
      <c r="B42" s="5">
        <f>Waterfall!F31+Waterfall!H31</f>
        <v>0</v>
      </c>
      <c r="C42" s="5">
        <f>Waterfall!G31+Waterfall!I31</f>
        <v>118623.66484249481</v>
      </c>
      <c r="D42" s="5">
        <f>Waterfall!N31</f>
        <v>0</v>
      </c>
    </row>
    <row r="43" spans="2:4" x14ac:dyDescent="0.35">
      <c r="B43" s="5">
        <f>Waterfall!F32+Waterfall!H32</f>
        <v>0</v>
      </c>
      <c r="C43" s="5">
        <f>Waterfall!G32+Waterfall!I32</f>
        <v>117029.39130777467</v>
      </c>
      <c r="D43" s="5">
        <f>Waterfall!N32</f>
        <v>0</v>
      </c>
    </row>
    <row r="44" spans="2:4" x14ac:dyDescent="0.35">
      <c r="B44" s="5">
        <f>Waterfall!F33+Waterfall!H33</f>
        <v>0</v>
      </c>
      <c r="C44" s="5">
        <f>Waterfall!G33+Waterfall!I33</f>
        <v>115426.96993382905</v>
      </c>
      <c r="D44" s="5">
        <f>Waterfall!N33</f>
        <v>0</v>
      </c>
    </row>
    <row r="45" spans="2:4" x14ac:dyDescent="0.35">
      <c r="B45" s="5">
        <f>Waterfall!F34+Waterfall!H34</f>
        <v>0</v>
      </c>
      <c r="C45" s="5">
        <f>Waterfall!G34+Waterfall!I34</f>
        <v>113804.58725092022</v>
      </c>
      <c r="D45" s="5">
        <f>Waterfall!N34</f>
        <v>0</v>
      </c>
    </row>
    <row r="46" spans="2:4" x14ac:dyDescent="0.35">
      <c r="B46" s="5">
        <f>Waterfall!F35+Waterfall!H35</f>
        <v>0</v>
      </c>
      <c r="C46" s="5">
        <f>Waterfall!G35+Waterfall!I35</f>
        <v>112138.64182739615</v>
      </c>
      <c r="D46" s="5">
        <f>Waterfall!N35</f>
        <v>0</v>
      </c>
    </row>
    <row r="47" spans="2:4" x14ac:dyDescent="0.35">
      <c r="B47" s="5">
        <f>Waterfall!F36+Waterfall!H36</f>
        <v>0</v>
      </c>
      <c r="C47" s="5">
        <f>Waterfall!G36+Waterfall!I36</f>
        <v>40307.870767986307</v>
      </c>
      <c r="D47" s="5">
        <f>Waterfall!N36</f>
        <v>70062.206881486956</v>
      </c>
    </row>
    <row r="48" spans="2:4" x14ac:dyDescent="0.35">
      <c r="B48" s="5">
        <f>Waterfall!F37+Waterfall!H37</f>
        <v>0</v>
      </c>
      <c r="C48" s="5">
        <f>Waterfall!G37+Waterfall!I37</f>
        <v>0</v>
      </c>
      <c r="D48" s="5">
        <f>Waterfall!N37</f>
        <v>108262.17054231658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/>
  </sheetViews>
  <sheetFormatPr defaultRowHeight="14.5" x14ac:dyDescent="0.35"/>
  <cols>
    <col min="1" max="7" width="20.7265625" customWidth="1"/>
  </cols>
  <sheetData>
    <row r="1" spans="1:5" ht="18.5" x14ac:dyDescent="0.45">
      <c r="A1" s="7" t="s">
        <v>226</v>
      </c>
    </row>
    <row r="3" spans="1:5" x14ac:dyDescent="0.35">
      <c r="A3" s="6" t="s">
        <v>227</v>
      </c>
      <c r="B3" s="5">
        <f>Assumptions!B2</f>
        <v>5046400</v>
      </c>
      <c r="D3" s="6" t="s">
        <v>230</v>
      </c>
      <c r="E3" s="4">
        <f>(1+Tranche_Summary!B6)^1-1</f>
        <v>5.0000000000001155E-3</v>
      </c>
    </row>
    <row r="4" spans="1:5" x14ac:dyDescent="0.35">
      <c r="A4" s="6" t="s">
        <v>228</v>
      </c>
      <c r="B4" s="4">
        <f>Assumptions!B3</f>
        <v>0.05</v>
      </c>
      <c r="D4" s="6" t="s">
        <v>231</v>
      </c>
      <c r="E4" s="4">
        <f>(1+Tranche_Summary!C6)^1-1</f>
        <v>7.5000000000000622E-3</v>
      </c>
    </row>
    <row r="5" spans="1:5" x14ac:dyDescent="0.35">
      <c r="A5" s="6" t="s">
        <v>9</v>
      </c>
      <c r="B5" s="4">
        <f>Assumptions!B5</f>
        <v>0.6</v>
      </c>
      <c r="D5" s="6" t="s">
        <v>232</v>
      </c>
      <c r="E5" s="4" t="e">
        <f>(1+Tranche_Summary!D6)^1-1</f>
        <v>#N/A</v>
      </c>
    </row>
    <row r="6" spans="1:5" x14ac:dyDescent="0.35">
      <c r="A6" s="6" t="s">
        <v>229</v>
      </c>
      <c r="B6" s="4">
        <f>Assumptions!B6</f>
        <v>0.03</v>
      </c>
    </row>
    <row r="7" spans="1:5" x14ac:dyDescent="0.35">
      <c r="A7" s="6" t="s">
        <v>235</v>
      </c>
      <c r="B7" s="5">
        <f>SUM(Waterfall!B2:B37)</f>
        <v>4933093.5008858889</v>
      </c>
      <c r="D7" s="6" t="s">
        <v>233</v>
      </c>
      <c r="E7" s="3">
        <f>Tranche_Summary!B9</f>
        <v>13.109312315390419</v>
      </c>
    </row>
    <row r="8" spans="1:5" x14ac:dyDescent="0.35">
      <c r="A8" s="6" t="s">
        <v>236</v>
      </c>
      <c r="B8" s="5">
        <f>SUM(Waterfall!N2:N37)</f>
        <v>178324.37742380355</v>
      </c>
      <c r="D8" s="6" t="s">
        <v>234</v>
      </c>
      <c r="E8" s="3">
        <f>Tranche_Summary!C9</f>
        <v>30.611685177649829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13</vt:i4>
      </vt:variant>
    </vt:vector>
  </HeadingPairs>
  <TitlesOfParts>
    <vt:vector size="20" baseType="lpstr">
      <vt:lpstr>README</vt:lpstr>
      <vt:lpstr>Assumptions</vt:lpstr>
      <vt:lpstr>Loans</vt:lpstr>
      <vt:lpstr>Portfolio_CF</vt:lpstr>
      <vt:lpstr>Waterfall</vt:lpstr>
      <vt:lpstr>Tranche_Summary</vt:lpstr>
      <vt:lpstr>DASHBOARD</vt:lpstr>
      <vt:lpstr>ADR_Base</vt:lpstr>
      <vt:lpstr>CPR</vt:lpstr>
      <vt:lpstr>FeePct</vt:lpstr>
      <vt:lpstr>InitPool</vt:lpstr>
      <vt:lpstr>MezzPct</vt:lpstr>
      <vt:lpstr>MezzRate</vt:lpstr>
      <vt:lpstr>OCpct</vt:lpstr>
      <vt:lpstr>Port_Defaults</vt:lpstr>
      <vt:lpstr>ProjMonths</vt:lpstr>
      <vt:lpstr>RecLag</vt:lpstr>
      <vt:lpstr>RecoveryRate</vt:lpstr>
      <vt:lpstr>SeniorPct</vt:lpstr>
      <vt:lpstr>SeniorRate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Sadaf Davre</cp:lastModifiedBy>
  <dcterms:created xsi:type="dcterms:W3CDTF">2025-11-03T07:50:49Z</dcterms:created>
  <dcterms:modified xsi:type="dcterms:W3CDTF">2025-11-03T10:35:43Z</dcterms:modified>
</cp:coreProperties>
</file>